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E:\sekretariat\Simona\23 Dinas Penanaman Modal dan Pelayanan Terpadu Satu Pintu-20260707T072334Z-3-001\23 Dinas Penanaman Modal dan Pelayanan Terpadu Satu Pintu\"/>
    </mc:Choice>
  </mc:AlternateContent>
  <xr:revisionPtr revIDLastSave="0" documentId="13_ncr:1_{129A52E4-202D-44C6-9E7E-A434AF4B9259}" xr6:coauthVersionLast="47" xr6:coauthVersionMax="47" xr10:uidLastSave="{00000000-0000-0000-0000-000000000000}"/>
  <bookViews>
    <workbookView xWindow="768" yWindow="768" windowWidth="17280" windowHeight="8880" firstSheet="1" activeTab="1" xr2:uid="{00000000-000D-0000-FFFF-FFFF00000000}"/>
  </bookViews>
  <sheets>
    <sheet name="DATA" sheetId="1" state="veryHidden" r:id="rId1"/>
    <sheet name="URAIAN JABATAN" sheetId="2" r:id="rId2"/>
    <sheet name="ABK" sheetId="3" r:id="rId3"/>
    <sheet name="INFOFAK" sheetId="4" r:id="rId4"/>
    <sheet name="INFOJAB" sheetId="5" r:id="rId5"/>
  </sheets>
  <externalReferences>
    <externalReference r:id="rId6"/>
  </externalReferences>
  <definedNames>
    <definedName name="DATAJABATAN">[1]DATABASE!$A$2:$N$7</definedName>
    <definedName name="_xlnm.Print_Area" localSheetId="2">ABK!$A$1:$O$19</definedName>
    <definedName name="_xlnm.Print_Area" localSheetId="0">DATA!$A$1:$D$92</definedName>
    <definedName name="_xlnm.Print_Area" localSheetId="3">INFOFAK!$A$1:$AA$108</definedName>
    <definedName name="_xlnm.Print_Area" localSheetId="4">INFOJAB!$A$1:$W$136</definedName>
    <definedName name="_xlnm.Print_Area" localSheetId="1">'URAIAN JABATAN'!$A$1:$W$151</definedName>
    <definedName name="_xlnm.Print_Titles" localSheetId="2">ABK!$9:$9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5" i="5" l="1"/>
  <c r="I133" i="5"/>
  <c r="G133" i="5"/>
  <c r="I132" i="5"/>
  <c r="G132" i="5"/>
  <c r="I131" i="5"/>
  <c r="G131" i="5"/>
  <c r="I129" i="5"/>
  <c r="I128" i="5"/>
  <c r="I127" i="5"/>
  <c r="I126" i="5"/>
  <c r="I125" i="5"/>
  <c r="I124" i="5"/>
  <c r="D122" i="5"/>
  <c r="D121" i="5"/>
  <c r="D120" i="5"/>
  <c r="D119" i="5"/>
  <c r="I117" i="5"/>
  <c r="D117" i="5"/>
  <c r="I116" i="5"/>
  <c r="D116" i="5"/>
  <c r="H114" i="5"/>
  <c r="D114" i="5"/>
  <c r="H113" i="5"/>
  <c r="D113" i="5"/>
  <c r="H112" i="5"/>
  <c r="D112" i="5"/>
  <c r="F110" i="5"/>
  <c r="D110" i="5"/>
  <c r="F109" i="5"/>
  <c r="D109" i="5"/>
  <c r="H107" i="5"/>
  <c r="L104" i="5"/>
  <c r="C104" i="5"/>
  <c r="L103" i="5"/>
  <c r="C103" i="5"/>
  <c r="L102" i="5"/>
  <c r="C102" i="5"/>
  <c r="L97" i="5"/>
  <c r="L96" i="5"/>
  <c r="L95" i="5"/>
  <c r="L94" i="5"/>
  <c r="L93" i="5"/>
  <c r="L92" i="5"/>
  <c r="L91" i="5"/>
  <c r="L90" i="5"/>
  <c r="L89" i="5"/>
  <c r="Q84" i="5"/>
  <c r="C84" i="5"/>
  <c r="Q83" i="5"/>
  <c r="C83" i="5"/>
  <c r="C78" i="5"/>
  <c r="C77" i="5"/>
  <c r="C76" i="5"/>
  <c r="C71" i="5"/>
  <c r="N62" i="5"/>
  <c r="C62" i="5"/>
  <c r="N61" i="5"/>
  <c r="C61" i="5"/>
  <c r="N60" i="5"/>
  <c r="C60" i="5"/>
  <c r="N59" i="5"/>
  <c r="C59" i="5"/>
  <c r="N54" i="5"/>
  <c r="C54" i="5"/>
  <c r="N53" i="5"/>
  <c r="C53" i="5"/>
  <c r="N52" i="5"/>
  <c r="C52" i="5"/>
  <c r="N51" i="5"/>
  <c r="C51" i="5"/>
  <c r="N50" i="5"/>
  <c r="C50" i="5"/>
  <c r="N49" i="5"/>
  <c r="C49" i="5"/>
  <c r="T33" i="5"/>
  <c r="T32" i="5"/>
  <c r="R32" i="5"/>
  <c r="O32" i="5"/>
  <c r="V32" i="5" s="1"/>
  <c r="I32" i="5"/>
  <c r="C43" i="5" s="1"/>
  <c r="T31" i="5"/>
  <c r="T30" i="5"/>
  <c r="R30" i="5"/>
  <c r="O30" i="5"/>
  <c r="V30" i="5" s="1"/>
  <c r="T29" i="5"/>
  <c r="T28" i="5"/>
  <c r="R28" i="5"/>
  <c r="O28" i="5"/>
  <c r="V28" i="5" s="1"/>
  <c r="I28" i="5"/>
  <c r="C39" i="5" s="1"/>
  <c r="C28" i="5"/>
  <c r="T27" i="5"/>
  <c r="J24" i="5"/>
  <c r="B20" i="5"/>
  <c r="AA89" i="4"/>
  <c r="AA88" i="4"/>
  <c r="AA87" i="4"/>
  <c r="AA83" i="4"/>
  <c r="J79" i="4"/>
  <c r="J78" i="4"/>
  <c r="W62" i="4"/>
  <c r="AC63" i="4" s="1"/>
  <c r="W60" i="4"/>
  <c r="Y60" i="4" s="1"/>
  <c r="M90" i="4" s="1"/>
  <c r="AC59" i="4"/>
  <c r="F59" i="4"/>
  <c r="Y58" i="4"/>
  <c r="M89" i="4" s="1"/>
  <c r="W58" i="4"/>
  <c r="W56" i="4"/>
  <c r="Y56" i="4" s="1"/>
  <c r="M88" i="4" s="1"/>
  <c r="W54" i="4"/>
  <c r="AC55" i="4" s="1"/>
  <c r="AC53" i="4"/>
  <c r="Y52" i="4"/>
  <c r="M86" i="4" s="1"/>
  <c r="W52" i="4"/>
  <c r="AA86" i="4" s="1"/>
  <c r="W50" i="4"/>
  <c r="AC51" i="4" s="1"/>
  <c r="W47" i="4"/>
  <c r="AA84" i="4" s="1"/>
  <c r="AR46" i="4"/>
  <c r="W45" i="4"/>
  <c r="AC46" i="4" s="1"/>
  <c r="C41" i="4"/>
  <c r="C40" i="4"/>
  <c r="C38" i="4"/>
  <c r="C37" i="4"/>
  <c r="C36" i="4"/>
  <c r="D21" i="4"/>
  <c r="D20" i="4"/>
  <c r="H13" i="4"/>
  <c r="H12" i="4"/>
  <c r="H11" i="4"/>
  <c r="AR57" i="4" s="1"/>
  <c r="N18" i="3"/>
  <c r="V35" i="5" s="1"/>
  <c r="Q16" i="3"/>
  <c r="N16" i="3"/>
  <c r="L16" i="3"/>
  <c r="R33" i="5" s="1"/>
  <c r="K16" i="3"/>
  <c r="O33" i="5" s="1"/>
  <c r="V33" i="5" s="1"/>
  <c r="B16" i="3"/>
  <c r="L15" i="3"/>
  <c r="K15" i="3"/>
  <c r="N15" i="3" s="1"/>
  <c r="B15" i="3"/>
  <c r="L14" i="3"/>
  <c r="R31" i="5" s="1"/>
  <c r="K14" i="3"/>
  <c r="O31" i="5" s="1"/>
  <c r="V31" i="5" s="1"/>
  <c r="B14" i="3"/>
  <c r="L13" i="3"/>
  <c r="K13" i="3"/>
  <c r="Q13" i="3" s="1"/>
  <c r="B13" i="3"/>
  <c r="L12" i="3"/>
  <c r="R29" i="5" s="1"/>
  <c r="K12" i="3"/>
  <c r="O29" i="5" s="1"/>
  <c r="V29" i="5" s="1"/>
  <c r="B12" i="3"/>
  <c r="Q11" i="3"/>
  <c r="N11" i="3"/>
  <c r="L11" i="3"/>
  <c r="K11" i="3"/>
  <c r="B11" i="3"/>
  <c r="L10" i="3"/>
  <c r="R27" i="5" s="1"/>
  <c r="K10" i="3"/>
  <c r="O27" i="5" s="1"/>
  <c r="B10" i="3"/>
  <c r="F6" i="3"/>
  <c r="F5" i="3"/>
  <c r="Q4" i="3"/>
  <c r="P4" i="3"/>
  <c r="F4" i="3" s="1"/>
  <c r="P1" i="3"/>
  <c r="I121" i="2"/>
  <c r="I119" i="2"/>
  <c r="I117" i="2"/>
  <c r="J22" i="5" s="1"/>
  <c r="I116" i="2"/>
  <c r="L113" i="2"/>
  <c r="C113" i="2"/>
  <c r="Z92" i="2"/>
  <c r="Y92" i="2"/>
  <c r="J92" i="2" s="1"/>
  <c r="C92" i="2"/>
  <c r="C80" i="2"/>
  <c r="D32" i="4" s="1"/>
  <c r="C76" i="2"/>
  <c r="C67" i="5" s="1"/>
  <c r="C75" i="2"/>
  <c r="C66" i="5" s="1"/>
  <c r="T71" i="2"/>
  <c r="Q71" i="2"/>
  <c r="C71" i="2"/>
  <c r="I33" i="5" s="1"/>
  <c r="C44" i="5" s="1"/>
  <c r="T70" i="2"/>
  <c r="Q70" i="2"/>
  <c r="C70" i="2"/>
  <c r="T69" i="2"/>
  <c r="Q69" i="2"/>
  <c r="C69" i="2"/>
  <c r="I31" i="5" s="1"/>
  <c r="C42" i="5" s="1"/>
  <c r="T68" i="2"/>
  <c r="Q68" i="2"/>
  <c r="C68" i="2"/>
  <c r="C78" i="2" s="1"/>
  <c r="T67" i="2"/>
  <c r="Q67" i="2"/>
  <c r="C67" i="2"/>
  <c r="I29" i="5" s="1"/>
  <c r="C40" i="5" s="1"/>
  <c r="T66" i="2"/>
  <c r="Q66" i="2"/>
  <c r="C66" i="2"/>
  <c r="T65" i="2"/>
  <c r="Q65" i="2"/>
  <c r="C65" i="2"/>
  <c r="I27" i="5" s="1"/>
  <c r="C38" i="5" s="1"/>
  <c r="C42" i="2"/>
  <c r="C41" i="2"/>
  <c r="D25" i="4" s="1"/>
  <c r="C40" i="2"/>
  <c r="D24" i="4" s="1"/>
  <c r="C39" i="2"/>
  <c r="D23" i="4" s="1"/>
  <c r="C38" i="2"/>
  <c r="C30" i="5" s="1"/>
  <c r="C37" i="2"/>
  <c r="C29" i="5" s="1"/>
  <c r="C36" i="2"/>
  <c r="C35" i="2"/>
  <c r="D19" i="4" s="1"/>
  <c r="B33" i="2"/>
  <c r="B16" i="4" s="1"/>
  <c r="G27" i="2"/>
  <c r="G22" i="2"/>
  <c r="G17" i="2"/>
  <c r="G14" i="2"/>
  <c r="H16" i="5" s="1"/>
  <c r="G13" i="2"/>
  <c r="H15" i="5" s="1"/>
  <c r="G12" i="2"/>
  <c r="H14" i="5" s="1"/>
  <c r="G10" i="2"/>
  <c r="H10" i="5" s="1"/>
  <c r="G9" i="2"/>
  <c r="J76" i="4" s="1"/>
  <c r="R34" i="5" l="1"/>
  <c r="V27" i="5"/>
  <c r="V34" i="5" s="1"/>
  <c r="J93" i="2"/>
  <c r="J84" i="5" s="1"/>
  <c r="J83" i="5"/>
  <c r="C69" i="5"/>
  <c r="D30" i="4"/>
  <c r="D22" i="4"/>
  <c r="Y47" i="4"/>
  <c r="M84" i="4" s="1"/>
  <c r="J80" i="4"/>
  <c r="C32" i="5"/>
  <c r="C39" i="4"/>
  <c r="Y54" i="4"/>
  <c r="M87" i="4" s="1"/>
  <c r="C77" i="2"/>
  <c r="AD48" i="4"/>
  <c r="Q12" i="3"/>
  <c r="D27" i="4"/>
  <c r="C79" i="2"/>
  <c r="N10" i="3"/>
  <c r="N17" i="3" s="1"/>
  <c r="C42" i="4"/>
  <c r="AC61" i="4"/>
  <c r="F61" i="4" s="1"/>
  <c r="Q10" i="3"/>
  <c r="L19" i="3" s="1"/>
  <c r="Y50" i="4"/>
  <c r="M85" i="4" s="1"/>
  <c r="C81" i="2"/>
  <c r="Q15" i="3"/>
  <c r="Y45" i="4"/>
  <c r="M83" i="4" s="1"/>
  <c r="Y62" i="4"/>
  <c r="M91" i="4" s="1"/>
  <c r="AA85" i="4"/>
  <c r="AA91" i="4"/>
  <c r="C27" i="5"/>
  <c r="C31" i="5"/>
  <c r="C33" i="5"/>
  <c r="AC48" i="4"/>
  <c r="F48" i="4" s="1"/>
  <c r="I30" i="5"/>
  <c r="C41" i="5" s="1"/>
  <c r="H9" i="4"/>
  <c r="D28" i="4"/>
  <c r="AA90" i="4"/>
  <c r="F3" i="3"/>
  <c r="N13" i="3"/>
  <c r="AC57" i="4"/>
  <c r="N14" i="3"/>
  <c r="Q14" i="3"/>
  <c r="N12" i="3"/>
  <c r="H9" i="5"/>
  <c r="C70" i="5" l="1"/>
  <c r="D31" i="4"/>
  <c r="D33" i="4"/>
  <c r="C72" i="5"/>
  <c r="F53" i="4"/>
  <c r="F63" i="4"/>
  <c r="F46" i="4"/>
  <c r="F57" i="4"/>
  <c r="F51" i="4"/>
  <c r="F49" i="4"/>
  <c r="F55" i="4"/>
  <c r="M92" i="4"/>
  <c r="M93" i="4" s="1"/>
  <c r="C68" i="5"/>
  <c r="D29" i="4"/>
  <c r="J136" i="5" l="1"/>
  <c r="V93" i="4"/>
</calcChain>
</file>

<file path=xl/sharedStrings.xml><?xml version="1.0" encoding="utf-8"?>
<sst xmlns="http://schemas.openxmlformats.org/spreadsheetml/2006/main" count="1012" uniqueCount="519">
  <si>
    <t>DATA</t>
  </si>
  <si>
    <t>KODE JABATAN</t>
  </si>
  <si>
    <t>:</t>
  </si>
  <si>
    <t>23.1.1.0.8</t>
  </si>
  <si>
    <t>NAMA JABATAN</t>
  </si>
  <si>
    <t>Pengadministrasi Perkantoran</t>
  </si>
  <si>
    <t>UNIT KERJA ESELON IV</t>
  </si>
  <si>
    <t>-</t>
  </si>
  <si>
    <t>UNIT KERJA ESELON III</t>
  </si>
  <si>
    <t>Sekretariat Dinas Penanaman Modal dan Pelayanan Terpadu Satu Pintu</t>
  </si>
  <si>
    <t>PERANGKAT DAERAH</t>
  </si>
  <si>
    <t>Dinas Penanaman Modal dan Pelayanan Terpadu Satu Pintu</t>
  </si>
  <si>
    <t>ATASAN LANGSUNG</t>
  </si>
  <si>
    <t>Sekretaris Dinas Penanaman Modal dan Pelayanan Terpadu Satu Pintu</t>
  </si>
  <si>
    <t>ATASAN ATASAN LANGSUNG</t>
  </si>
  <si>
    <t>Kepala Dinas Penanaman Modal dan Pelayanan Terpadu Satu Pintu</t>
  </si>
  <si>
    <t>BIDANG TUGAS-NOMENKLATUR JABATAN</t>
  </si>
  <si>
    <t>perencanaan, evaluasi, dan pelaporan</t>
  </si>
  <si>
    <t>URUSAN-KEGIATAN</t>
  </si>
  <si>
    <t>PENDIDIKAN</t>
  </si>
  <si>
    <t>SLTA Sederajat/D-3(Diploma-Tiga) bidang yang relevan dengan tugas jabatan</t>
  </si>
  <si>
    <t>TUGAS-IKHTISAR JABATAN</t>
  </si>
  <si>
    <t>Melaksanakan kegiatan dukungan administrasi perkantoran, pemerintahan, dan pelayanan publik dalam lingkup tugas perencanaan, evaluasi, dan pelaporan</t>
  </si>
  <si>
    <t>KEBUTUHAN SDM</t>
  </si>
  <si>
    <t>LEVEL FAKTOR 1 (STRUKTURAL)</t>
  </si>
  <si>
    <t>LEVEL FAKTOR 2</t>
  </si>
  <si>
    <t>LEVEL FAKTOR 3</t>
  </si>
  <si>
    <t>LEVEL FAKTOR 4A</t>
  </si>
  <si>
    <t>LEVEL FAKTOR 4B</t>
  </si>
  <si>
    <t>LEVEL FAKTOR 5</t>
  </si>
  <si>
    <t>LEVEL FAKTOR 6</t>
  </si>
  <si>
    <t>LEVEL FAKTOR 1 (JF-PELAKSANA)</t>
  </si>
  <si>
    <t>LEVEL FAKTOR 4</t>
  </si>
  <si>
    <t>LEVEL FAKTOR 7</t>
  </si>
  <si>
    <t>LEVEL FAKTOR 8</t>
  </si>
  <si>
    <t>LEVEL FAKTOR 9</t>
  </si>
  <si>
    <t>KELAS JABATAN</t>
  </si>
  <si>
    <t>PANGKAT-GOL</t>
  </si>
  <si>
    <t>Minimal Pengatur Muda (II/a)</t>
  </si>
  <si>
    <t>DIKLAT PENJENJANGAN JF</t>
  </si>
  <si>
    <t>PENGALAMAN KERJA KHUSUS</t>
  </si>
  <si>
    <t>URTUG_1</t>
  </si>
  <si>
    <t>Melakukan penatausahaan surat dan dokumen yang meliputi penerimaan, penelitian, verifikasi, pencatatan, dan distribusi surat dan dokumen dalam lingkup tugas perencanaan, evaluasi, dan pelaporan</t>
  </si>
  <si>
    <t>URTUG_2</t>
  </si>
  <si>
    <t>Menyusun dan menyediakan surat dan dokumen sesuai tata naskah dinas yang berlaku dalam lingkup tugas perencanaan, evaluasi, dan pelaporan</t>
  </si>
  <si>
    <t>URTUG_3</t>
  </si>
  <si>
    <t>Melakukan penyimpanan dan pengarsipan sesuai dengan tata kelola arsip terhadap surat dan dokumen dalam lingkup tugas perencanaan, evaluasi, dan pelaporan</t>
  </si>
  <si>
    <t>URTUG_4</t>
  </si>
  <si>
    <t>Melakukan kegiatan pelayanan publik dalam lingkup tugas perencanaan, evaluasi, dan pelaporan</t>
  </si>
  <si>
    <t>URTUG_5</t>
  </si>
  <si>
    <t>Melaksanakan pemberian dukungan teknis terhadap pelaksanaan tugas dan fungsi unit organisasi berupa penyiapan dan penyusunan dokumen, data, bahan, dan perlengkapan kegiatan dalam rangka pencapaian target kinerja organisasi.</t>
  </si>
  <si>
    <t>URTUG_6</t>
  </si>
  <si>
    <t>Menyusun laporan pelaksanaan tugas dan menyampaikan kepada pimpinan sebagai wujud akuntabilitas dan pertanggungjawaban pelaksanaan tugas.</t>
  </si>
  <si>
    <t>URTUG_7</t>
  </si>
  <si>
    <t>Melaksanakan tugas kedinasan lain yang diberikan oleh pimpinan, baik lisan maupun tertulis sebagai wujud loyalitas dan kerjasama yang baik.</t>
  </si>
  <si>
    <t>URTUG_8</t>
  </si>
  <si>
    <t>URTUG_9</t>
  </si>
  <si>
    <t>URTUG_10</t>
  </si>
  <si>
    <t>URTUG_11</t>
  </si>
  <si>
    <t>URTUG_12</t>
  </si>
  <si>
    <t>URTUG_13</t>
  </si>
  <si>
    <t>URTUG_14</t>
  </si>
  <si>
    <t>JM HASIL-1</t>
  </si>
  <si>
    <t>WAKTU PENYELESAIAN-1</t>
  </si>
  <si>
    <t>1,5</t>
  </si>
  <si>
    <t>JM HASIL-2</t>
  </si>
  <si>
    <t>WAKTU PENYELESAIAN-2</t>
  </si>
  <si>
    <t>4,5</t>
  </si>
  <si>
    <t>JM HASIL-3</t>
  </si>
  <si>
    <t>WAKTU PENYELESAIAN-3</t>
  </si>
  <si>
    <t>JM HASIL-4</t>
  </si>
  <si>
    <t>WAKTU PENYELESAIAN-4</t>
  </si>
  <si>
    <t>JM HASIL-5</t>
  </si>
  <si>
    <t>WAKTU PENYELESAIAN-5</t>
  </si>
  <si>
    <t>JM HASIL-6</t>
  </si>
  <si>
    <t>WAKTU PENYELESAIAN-6</t>
  </si>
  <si>
    <t>JM HASIL-7</t>
  </si>
  <si>
    <t>WAKTU PENYELESAIAN-7</t>
  </si>
  <si>
    <t>JM HASIL-8</t>
  </si>
  <si>
    <t>WAKTU PENYELESAIAN-8</t>
  </si>
  <si>
    <t>JM HASIL-9</t>
  </si>
  <si>
    <t>WAKTU PENYELESAIAN-9</t>
  </si>
  <si>
    <t>JM HASIL-10</t>
  </si>
  <si>
    <t>WAKTU PENYELESAIAN-10</t>
  </si>
  <si>
    <t>JM HASIL-11</t>
  </si>
  <si>
    <t>WAKTU PENYELESAIAN-11</t>
  </si>
  <si>
    <t>JM HASIL-12</t>
  </si>
  <si>
    <t>WAKTU PENYELESAIAN-12</t>
  </si>
  <si>
    <t>JM HASIL-13</t>
  </si>
  <si>
    <t>WAKTU PENYELESAIAN-13</t>
  </si>
  <si>
    <t>JM HASIL-14</t>
  </si>
  <si>
    <t>WAKTU PENYELESAIAN-14</t>
  </si>
  <si>
    <t>HASIL KERJA 1</t>
  </si>
  <si>
    <t>Laporan kegiatan penatausahaan surat dan dokumen dalam lingkup tugas perencanaan, evaluasi, dan pelaporan</t>
  </si>
  <si>
    <t>HASIL KERJA 2</t>
  </si>
  <si>
    <t>Dokumen dan surat dalam lingkup tugas perencanaan, evaluasi, dan pelaporan</t>
  </si>
  <si>
    <t>HASIL KERJA 3</t>
  </si>
  <si>
    <t>Arsip surat dan dokumen dalam lingkup tugas perencanaan, evaluasi, dan pelaporan</t>
  </si>
  <si>
    <t>HASIL KERJA 4</t>
  </si>
  <si>
    <t>Laporan kegiatan pelayanan publik dalam lingkup tugas perencanaan, evaluasi, dan pelaporan</t>
  </si>
  <si>
    <t>HASIL KERJA 5</t>
  </si>
  <si>
    <t>Dokumen, bahan, dan perlengkapan kegiatan tugas dan fungsi unit organisasi</t>
  </si>
  <si>
    <t>HASIL KERJA 6</t>
  </si>
  <si>
    <t>Laporan bulanan pelaksanaan tugas dan kegiatan</t>
  </si>
  <si>
    <t>HASIL KERJA 7</t>
  </si>
  <si>
    <t>Laporan tugas tambahan/kedinasan lainnya</t>
  </si>
  <si>
    <t>HASIL KERJA 8</t>
  </si>
  <si>
    <t>HASIL KERJA 9</t>
  </si>
  <si>
    <t>HASIL KERJA 10</t>
  </si>
  <si>
    <t>HASIL KERJA 11</t>
  </si>
  <si>
    <t>HASIL KERJA 12</t>
  </si>
  <si>
    <t>HASIL KERJA 13</t>
  </si>
  <si>
    <t>HASIL KERJA 14</t>
  </si>
  <si>
    <t>TAMBAHAN RISIKO KERJA</t>
  </si>
  <si>
    <t>PENYEBAB TAMBAHAN RISIKO KERJA</t>
  </si>
  <si>
    <t>JUMLAH BEBAN KERJA</t>
  </si>
  <si>
    <t>PEMERINTAH KOTA SEMARANG</t>
  </si>
  <si>
    <t>URAIAN JABATAN</t>
  </si>
  <si>
    <t>1.</t>
  </si>
  <si>
    <t>Nama Jabatan</t>
  </si>
  <si>
    <t>2.</t>
  </si>
  <si>
    <t>Kode Jabatan</t>
  </si>
  <si>
    <t>3.</t>
  </si>
  <si>
    <t>Unit Kerja</t>
  </si>
  <si>
    <t>Eselon II/ Perangkat Daerah/UOBK</t>
  </si>
  <si>
    <t>Eselon III</t>
  </si>
  <si>
    <t>Eselon IV</t>
  </si>
  <si>
    <t>4.</t>
  </si>
  <si>
    <t>Kedudukan Dalam Struktur Organisasi</t>
  </si>
  <si>
    <t>5.</t>
  </si>
  <si>
    <t>Ikhtisar Jabatan</t>
  </si>
  <si>
    <t>6.</t>
  </si>
  <si>
    <t>Uraian Tugas</t>
  </si>
  <si>
    <t>a.</t>
  </si>
  <si>
    <t>b.</t>
  </si>
  <si>
    <t>c.</t>
  </si>
  <si>
    <t>d.</t>
  </si>
  <si>
    <t>e.</t>
  </si>
  <si>
    <t>f.</t>
  </si>
  <si>
    <t>g.</t>
  </si>
  <si>
    <t>7.</t>
  </si>
  <si>
    <t>Bahan Kerja</t>
  </si>
  <si>
    <t>No</t>
  </si>
  <si>
    <t>Penggunaan Dalam Tugas</t>
  </si>
  <si>
    <t>Surat/dokumen yang terkait dengan bidang tugas.</t>
  </si>
  <si>
    <t>Dasar dan acuan dalam pelaksanaan tugas.</t>
  </si>
  <si>
    <t>Data primer dan sekunder yang terkait dengan pelaksanaan tugas.</t>
  </si>
  <si>
    <t>Bahan dan materi penyusunan dokumen.</t>
  </si>
  <si>
    <t>Materi rapat/sosialisasi/bimbingan teknis.</t>
  </si>
  <si>
    <t>Referensi dalam pelaksanaan tugas.</t>
  </si>
  <si>
    <t>Buku/Karya Ilmiah</t>
  </si>
  <si>
    <t>Kajian yang terkait dengan bidang tugas.</t>
  </si>
  <si>
    <t>Informasi yang terkait dengan bidang tugas.</t>
  </si>
  <si>
    <t>8.</t>
  </si>
  <si>
    <t>Perangkat Kerja</t>
  </si>
  <si>
    <t>Digunakan Untuk Tugas</t>
  </si>
  <si>
    <t>Peraturan Perundang-undangan terkait pelaksanaan tugas.</t>
  </si>
  <si>
    <t>Pedoman pelaksanaan tugas.</t>
  </si>
  <si>
    <t>Petunjuk pelaksanaan dan petunjuk teknis</t>
  </si>
  <si>
    <t>SOP yang terkait dengan pelaksanaan tugas.</t>
  </si>
  <si>
    <t>Disposisi  pimpinan.</t>
  </si>
  <si>
    <t>Petunjuk pelaksanaan tugas.</t>
  </si>
  <si>
    <t>9.</t>
  </si>
  <si>
    <t>Hasil Kerja</t>
  </si>
  <si>
    <t>Jumlah Satuan</t>
  </si>
  <si>
    <t>Waktu Yg diperlukan (jam)</t>
  </si>
  <si>
    <t>10.</t>
  </si>
  <si>
    <t>Tanggung Jawab</t>
  </si>
  <si>
    <t>11.</t>
  </si>
  <si>
    <t>Wewenang</t>
  </si>
  <si>
    <t>Menentukan teknis pelaksanaan tugas dan penyusunan laporan terkait bidang tugas.</t>
  </si>
  <si>
    <t>Melakukan verifikasi terhadap data dan dokumen yang terkait bidang tugas.</t>
  </si>
  <si>
    <t>Menolak pelaksanaan tugas yang tidak sesuai dengan peraturan perundang-undangan.</t>
  </si>
  <si>
    <t>12.</t>
  </si>
  <si>
    <t>Korelasi Jabatan</t>
  </si>
  <si>
    <t>Jabatan</t>
  </si>
  <si>
    <t>Unit Kerja/ Instansi</t>
  </si>
  <si>
    <t>Dalam Hal</t>
  </si>
  <si>
    <t>Menerima perintah, konsultasi dan laporan.</t>
  </si>
  <si>
    <t>Jabatan Fungsional dan Pelaksana</t>
  </si>
  <si>
    <t>Koordinasi pelaksanaan tugas.</t>
  </si>
  <si>
    <t>13.</t>
  </si>
  <si>
    <t>Kondisi Lingkungan Kerja</t>
  </si>
  <si>
    <t>Aspek</t>
  </si>
  <si>
    <t>Faktor</t>
  </si>
  <si>
    <t>Lokasi kerja</t>
  </si>
  <si>
    <t>Dalam ruangan tertutup dan luar ruangan</t>
  </si>
  <si>
    <t>Suhu</t>
  </si>
  <si>
    <t>Sejuk dengan perubahan</t>
  </si>
  <si>
    <t>Udara</t>
  </si>
  <si>
    <t>Kering</t>
  </si>
  <si>
    <t>Luas ruangan</t>
  </si>
  <si>
    <t>Cukup</t>
  </si>
  <si>
    <t>Letak</t>
  </si>
  <si>
    <t>Rendah, rata, dan strategis</t>
  </si>
  <si>
    <t>Penerangan</t>
  </si>
  <si>
    <t>Terang</t>
  </si>
  <si>
    <t>Suara</t>
  </si>
  <si>
    <t>Tenang</t>
  </si>
  <si>
    <t>Keadaan tempat kerja</t>
  </si>
  <si>
    <t>Bersih</t>
  </si>
  <si>
    <t>Getaran</t>
  </si>
  <si>
    <t>14.</t>
  </si>
  <si>
    <t>Resiko Bahaya</t>
  </si>
  <si>
    <t>Fisik/Mental</t>
  </si>
  <si>
    <t>Penyebab</t>
  </si>
  <si>
    <t>Kelelahan</t>
  </si>
  <si>
    <t>Beban pelaksanaan tugas</t>
  </si>
  <si>
    <t>Kejenuhan</t>
  </si>
  <si>
    <t>Rutinitas</t>
  </si>
  <si>
    <t>15.</t>
  </si>
  <si>
    <t>Syarat Jabatan</t>
  </si>
  <si>
    <t>Pangkat/Gol. Ruang</t>
  </si>
  <si>
    <t>Pendidikan</t>
  </si>
  <si>
    <t>Kursus/Diklat</t>
  </si>
  <si>
    <t>1)</t>
  </si>
  <si>
    <t>Penjenjangan</t>
  </si>
  <si>
    <t>2)</t>
  </si>
  <si>
    <t>Teknis</t>
  </si>
  <si>
    <t>Kursus/diklat teknis sesuai bidang tugas.</t>
  </si>
  <si>
    <t>Pengalaman kerja</t>
  </si>
  <si>
    <t>Pengetahuan kerja</t>
  </si>
  <si>
    <t>Memiliki pengetahuan sesuai bidang tugas.</t>
  </si>
  <si>
    <t>Ketrampilan Kerja</t>
  </si>
  <si>
    <t>Administrasi umum, menyusun dokumen, dan menguasai penggunaan bahan kerja.</t>
  </si>
  <si>
    <t>Bakat Kerja</t>
  </si>
  <si>
    <t>G</t>
  </si>
  <si>
    <t>=</t>
  </si>
  <si>
    <t>Intelegensia (Kemampuan belajar secara umum)</t>
  </si>
  <si>
    <t>F</t>
  </si>
  <si>
    <t>Kecekatan Jari (Kemampuan menggerakkan jari jemari dengan mudah dan perlu ketrampilan)</t>
  </si>
  <si>
    <t>h.</t>
  </si>
  <si>
    <t>Temperamen Kerja</t>
  </si>
  <si>
    <t>P (DEPL)</t>
  </si>
  <si>
    <t>Kemampuan menyesuaikan diri dalam berhubungan dengan orang lain lebih dari hanya penerimaan dan pembuatan instruksi.</t>
  </si>
  <si>
    <t>R (REPCON)</t>
  </si>
  <si>
    <t>Kemampuan menyesuaikan diri dalam kegiatan-kegiatan yang berulang, atau secara terus menerus melakukan kegiatan yang sama, sesuai dengan perangkat prosedur, urutan atau kecepatan tertentu.</t>
  </si>
  <si>
    <t>3)</t>
  </si>
  <si>
    <t>T (STS)</t>
  </si>
  <si>
    <t>Kemampuan menyesuaikan diri dengan situasi yang menghendaki pencapaian dengan tepat menurut perangkat batas, toleransi atau standar-standar tertentu.</t>
  </si>
  <si>
    <t>i.</t>
  </si>
  <si>
    <t>Minat Kerja</t>
  </si>
  <si>
    <t>Sosial</t>
  </si>
  <si>
    <t>Aktivitas yang bersifat sosial atau memerlukan ketrampilan berkomunikasi dengan orang lain.</t>
  </si>
  <si>
    <t>Konvensional</t>
  </si>
  <si>
    <t>Aktivitas yang memerlukan manipulasi data yang eksplisit, kegiatan administrasi, rutin, dan klerikal.</t>
  </si>
  <si>
    <t>j.</t>
  </si>
  <si>
    <t>Upaya Fisik</t>
  </si>
  <si>
    <t>Berdiri</t>
  </si>
  <si>
    <t>Duduk</t>
  </si>
  <si>
    <t>Bekerja dengan jari</t>
  </si>
  <si>
    <t>4)</t>
  </si>
  <si>
    <t>Berbicara</t>
  </si>
  <si>
    <t>k.</t>
  </si>
  <si>
    <t>Kondisi Fisik</t>
  </si>
  <si>
    <t>Jenis Kelamin</t>
  </si>
  <si>
    <t>Laki-laki/Perempuan</t>
  </si>
  <si>
    <t>Umur</t>
  </si>
  <si>
    <t>Tidak ada syarat khusus</t>
  </si>
  <si>
    <t>Tinggi Badan</t>
  </si>
  <si>
    <t>Berat Badan</t>
  </si>
  <si>
    <t>5)</t>
  </si>
  <si>
    <t>Postur Badan</t>
  </si>
  <si>
    <t>6)</t>
  </si>
  <si>
    <t>Penampilan</t>
  </si>
  <si>
    <t>Rapi</t>
  </si>
  <si>
    <t>l.</t>
  </si>
  <si>
    <t>Fungsi Jabatan</t>
  </si>
  <si>
    <t>Benda</t>
  </si>
  <si>
    <t>B7</t>
  </si>
  <si>
    <t>Memegang</t>
  </si>
  <si>
    <t>Data</t>
  </si>
  <si>
    <t>D5</t>
  </si>
  <si>
    <t>Menyalin data</t>
  </si>
  <si>
    <t>Orang</t>
  </si>
  <si>
    <t>O8</t>
  </si>
  <si>
    <t>Menerima instruksi</t>
  </si>
  <si>
    <t>16.</t>
  </si>
  <si>
    <t>Prestasi Kerja Yang Diharapkan</t>
  </si>
  <si>
    <t>Baik</t>
  </si>
  <si>
    <t>ANALISIS BEBAN KERJA (ABK)</t>
  </si>
  <si>
    <t>UNIT KERJA</t>
  </si>
  <si>
    <t>PERANGKAT DAERAH/UOBK</t>
  </si>
  <si>
    <t>IKHTISAR JABATAN</t>
  </si>
  <si>
    <t>Uraian Jabatan</t>
  </si>
  <si>
    <t>Satuan Hasil</t>
  </si>
  <si>
    <t>Jumlah Hasil</t>
  </si>
  <si>
    <t>Waktu Penyelesaian  (Jam)</t>
  </si>
  <si>
    <t>Waktu Efektif (Jam)</t>
  </si>
  <si>
    <t>Kebutuhan Pegawai</t>
  </si>
  <si>
    <t>Ket</t>
  </si>
  <si>
    <t>1</t>
  </si>
  <si>
    <t>Dokumen/ laporan</t>
  </si>
  <si>
    <t>2</t>
  </si>
  <si>
    <t>3</t>
  </si>
  <si>
    <t>4</t>
  </si>
  <si>
    <t>5</t>
  </si>
  <si>
    <t>6</t>
  </si>
  <si>
    <t>7</t>
  </si>
  <si>
    <t>Jumlah</t>
  </si>
  <si>
    <t>Jumlah Pegawai</t>
  </si>
  <si>
    <t>Jumlah Beban Kerja Jabatan</t>
  </si>
  <si>
    <t>INFORMASI FAKTOR JABATAN PELAKSANA</t>
  </si>
  <si>
    <t>Unit Organisasi</t>
  </si>
  <si>
    <t>Perangkat Daerah/UOBK</t>
  </si>
  <si>
    <t>I.</t>
  </si>
  <si>
    <t>PERAN JABATAN</t>
  </si>
  <si>
    <t>II.</t>
  </si>
  <si>
    <t>TUGAS DAN TANGGUNG JAWAB UTAMA</t>
  </si>
  <si>
    <t>A.</t>
  </si>
  <si>
    <t>URAIAN TUGAS</t>
  </si>
  <si>
    <t>B.</t>
  </si>
  <si>
    <t>TANGGUNG JAWAB</t>
  </si>
  <si>
    <t>III.</t>
  </si>
  <si>
    <t>HASIL KERJA JABATAN</t>
  </si>
  <si>
    <t>IV.</t>
  </si>
  <si>
    <t>TINGKAT FAKTOR</t>
  </si>
  <si>
    <t>FAKTOR 1</t>
  </si>
  <si>
    <t>PENGETAHUAN YANG DIBUTUHKAN JABATAN</t>
  </si>
  <si>
    <t>(</t>
  </si>
  <si>
    <t>1 -</t>
  </si>
  <si>
    <t>)</t>
  </si>
  <si>
    <t>FAC 1</t>
  </si>
  <si>
    <t>TESfac1-1</t>
  </si>
  <si>
    <t>TESfac1-2</t>
  </si>
  <si>
    <t>TESfac1-3</t>
  </si>
  <si>
    <t>TESfac1-4</t>
  </si>
  <si>
    <t>TESfac1-5</t>
  </si>
  <si>
    <t>TESfac1-6</t>
  </si>
  <si>
    <t>TESfac1-7</t>
  </si>
  <si>
    <t>unit</t>
  </si>
  <si>
    <t>memerlukan pengetahuan tentang tugas atau operasi yang sederhana, rutin, atau berulang, yang secara khusus  mengikuti instruksi langkah demi langkah, dan sedikit atau sama sekali tidak membutuhkan pelatihan atau pengalaman sebelumnya serta memerlukan keterampilan untuk menjalankan peralatan sederhana atau peralatan yang beroperasi secara berkala, yang sedikit atau sama sekali tidak membutuhkan pelatihan atau pengalaman terkait bidang tugas.</t>
  </si>
  <si>
    <t>memerlukan pengetahuan tentang prosedur, peraturan, atau operasi dasar atau umum, yang secara khusus membutuhkan sedikit pelatihan atau pengalaman sebelumnya terkait bidang tugas.</t>
  </si>
  <si>
    <t>memerlukan pengetahuan tentang sejumlah peraturan, prosedur, dan operasi, yang membutuhkan pelatihan dan pengalaman yang cukup untuk melaksanakan pekerjaan klerek dan menyelesaikan masalah yang muncul serta memerlukan memerlukan keterampilan, yang membutuhkan pelatihan dan pengalaman yang cukup, untuk mengoperasikan dan menyesuaikan peralatan dalam berbagai tujuan terkait yang  bidang tugas.</t>
  </si>
  <si>
    <t>memerlukan  pengetahuan tentang sejumlah peraturan, prosedur, atau operasi, serta standar prosedur dibidang teknik, yang membutuhkan pelatihan atau pengalaman luas untuk melaksanakan berbagai pekerjaan yang tidak standar dan saling berhubungan, dan menyelesaikan berbagai macam masalah sesuai bidang tugasnya.</t>
  </si>
  <si>
    <t>memerlukan pengetahuan dasar  tentang  prinsip,  konsep,  dan metodologi pekerjaan administratif dan keterampilan dalam penerapan pengetahuan tersebut untuk melaksanakan tugas, operasi, atau prosedur dasar terkait bidang tugas.</t>
  </si>
  <si>
    <t>memerlukan pengetahuan dasar  tentang  prinsip,  konsep,  dan metodologi pekerjaan profesional atau pekerjaan administratif,  dalam penerapan pengetahuan tersebut untuk melaksanakan tugas, operasi, atau prosedur dasar serta pengembangan pengetahuan profesional atau pengetahuan administratif yang diperoleh melalui pengalaman atau lulus sarjana yang relevan, yang memberikan keahlian dalam pelaksanaan tugas, operasi dan prosedur pekerjaan yang secara signifikan lebih sulit dan rumit.</t>
  </si>
  <si>
    <t>memerlukan pengetahuan tentang berbagai konsep, prinsip, dan praktek pekerjaan profesional atau administratif, yang dapat diperoleh melalui pendidikan diatas sarjana atau pengalaman  yang  luas,  dan  keterampilan  didalam  penerapan  pengetahuan  tersebut dalam pekerjaan yang sulit dan kompleks.</t>
  </si>
  <si>
    <t>FAKTOR 2</t>
  </si>
  <si>
    <t>PENGAWASAN PENYELIA</t>
  </si>
  <si>
    <t>2 -</t>
  </si>
  <si>
    <t>FAC2A</t>
  </si>
  <si>
    <t>FAC2B</t>
  </si>
  <si>
    <t>TESFAC2A_1</t>
  </si>
  <si>
    <t>TESFAC2B_1</t>
  </si>
  <si>
    <t>TESFAC2A_2</t>
  </si>
  <si>
    <t>TESFAC2B_2</t>
  </si>
  <si>
    <t>TESFAC2A_3</t>
  </si>
  <si>
    <t>TESFAC2B_3</t>
  </si>
  <si>
    <t>TESFAC2A_4</t>
  </si>
  <si>
    <t>TESFAC2B_4</t>
  </si>
  <si>
    <t>TESFAC2A_5</t>
  </si>
  <si>
    <t>TESFAC2B_5</t>
  </si>
  <si>
    <t>Penyelia membuat tugas tertentu disertai dengan instruksi yang jelas, terperinci, dan spesifik Untuk tugas sejenis dan berulang.</t>
  </si>
  <si>
    <t>bekerja sesuai instruksi dan berkonsultasi dengan penyelia sebagaimana dibutuhkan untuk semua persoalan yang tidak spesifik dicakup di dalam instruksi atau pedoman, pekerjaan diawasi dengan teliti dan dalam situasi tertentu, penyelia melakukan peninjauan pekerjaan, termasuk pengecekan kemajuan pekerjaan atau peninjauan pekerjaan yang telah selesai untuk tujuan keakuratan, kecukupan, dan ketaatan pada instruksi dan prosedur yang ditetapkan.</t>
  </si>
  <si>
    <t>Penyelia memberikan tugas berkelanjutan atau tugas tertentu dengan mengindikasikan secara umum apa yang harus diselesaikan, batasan, kualitas, dan kuantitas yang diharapkan, batas waktu dan prioritas tugas. Penyelia memberikan tambahan instruksi untuk tugas baru, sulit, atau yang tidak biasa, termasuk metode kerja yang disarankan atau saran pada sumber materi yang tersedia.</t>
  </si>
  <si>
    <t>menggunakan inisiatif dalam melaksanakan tugas yang berulang secara mandiri tanpa instruksi spesifik, tapi melaporkan deviasi, masalah, dan situasi yang tidak lazim yang tidak dicakup dalam instruksi kepada penyelia untuk membuat keputusan atau meminta bantuan.Penyelia menjamin bahwa pekerjaan yang telah selesai dan metode yang digunakan adalah secara teknik akurat dan memenuhi instruksi atau prosedur yang ada.</t>
  </si>
  <si>
    <t>Penyelia memberikan tugas dengan tujuan, prioritas, dan batas waktu yang ditentukan, dan membantu pegawai pada situasi yang tidak lazim dan belum ada contoh yang jelas.</t>
  </si>
  <si>
    <t xml:space="preserve">merencanakan dan melaksanakan langkah-langkah yang sesuai dan menangani masalah dan deviasi pekerjaan sesuai dengan instruksi, kebijakan, latihan sebelumnya, atau praktek yang berlaku.Pekerjaan yang telah selesai biasanya dievaluasi untuk kesesuaian teknik, kelayakan dan kesesuaian pada kebijakan dan persyaratan. Metode yang digunakan untuk mendapatkan hasil akhir biasanya tidak ditinjau secara terperinci.
</t>
  </si>
  <si>
    <t>Penyelia menentukan tujuan dan sumber daya yang tersedia. Pegawai dan penyelia berkonsultasi mengembangkan batas waktu, proyek, dan pekerjaan yang harus dilakukan.</t>
  </si>
  <si>
    <t>mempunyai  keahlian   dalam pekerjaan, bertanggungjawab untuk perencanaan dan pelaksanaan tugas, pemecahan sebagian besar konflik yang timbul, pengkoordinasian  pekerjaan dengan yang lainnya sebagaimana diperlukan,  dan menginterpretasikan kebijakan atas inisiatif sendiri sesuai dengan tujuan yang ditetapkan serta menginformasikan kepada penyelia terkait kemajuan dan masalah kontroversial yang terjadi.</t>
  </si>
  <si>
    <t>Penyelia memberikan tugas dengan petunjuk dalam terminologi misi atau fungsi yang didefenisikan dengan luas.</t>
  </si>
  <si>
    <t>mempunyai tanggungjawab untuk perencanaan, desain, dan pelaksanaan program, proyek, studi, atau pekerjaan secara mandiri sesuai bidang tugas.</t>
  </si>
  <si>
    <t>FAKTOR 3</t>
  </si>
  <si>
    <t>PEDOMAN</t>
  </si>
  <si>
    <t>3 -</t>
  </si>
  <si>
    <t>FAC3</t>
  </si>
  <si>
    <t>TESFAC3_1</t>
  </si>
  <si>
    <t>TESFAC3_2</t>
  </si>
  <si>
    <t>TESFAC3_3</t>
  </si>
  <si>
    <t>TESFAC3_4</t>
  </si>
  <si>
    <t>menggunakan pedoman yang terperinci dan khusus, meliputi semua aspek penting tugas yang diberikan. Pegawai pada jabatan ini harus patuh dan taat pada pedoman, perubahan maupun penyimpangan dari pedoman harus diketahui dan disetujui oleh penyelia.</t>
  </si>
  <si>
    <t xml:space="preserve">menggunakan prosedur untuk melaksanakan pekerjaan yang ditetapkan dan sejumlah pedoman tersedia. Pegawai mengunakan pertimbangan dalam memilih pedoman, referensi, dan prosedur yang paling tepat untuk diterapkan pada kasus tertentu dengan deviasi yang terkecil. Pegawai dapat menentukan alternatif yang ada untuk digunakan. Situasi dimana pedoman yang ada tidak dapat diterapkan atau terjadi penyimpangan dari pedoman yang diajukan harus mengacu pada penyelia.
</t>
  </si>
  <si>
    <t>melaksanakan pekerjaan menggunakan pedoman yang tersedia tapi tidak sepenuhnya dapat diterapkan pada pekerjaan atau mempunyai kesenjangan dalam spesifikasi. Pegawai menggunakan pertimbangan dalam menginterpretasikan dan mengadaptasikan pedoman seperti kebijakan lembaga, peraturan, dan langkah kerja untuk penerapan pada masalah atau kasus tertentu serta menganalisa hasil dan merekomendasikan perubahan.</t>
  </si>
  <si>
    <t>melaksanakan pekerjaan dengan kebijakan dan peraturan yang dapat diterapkan tetapi dinyatakan dalam terminologi umum. Pedoman pelaksanaan pekerjaan langka atau penggunaannya terbatas. Pegawai pada jabatan ini menggunakan inisiatif dan akal pikiran dalam penyimpangan dari metode atau kecenderungan  dan  pola  yang  ada  untuk  mengembangkan  metode,  kriteria,  atau kebijakan baru.</t>
  </si>
  <si>
    <t>FAKTOR 4</t>
  </si>
  <si>
    <t>KOMPLEKSITAS</t>
  </si>
  <si>
    <t>4 -</t>
  </si>
  <si>
    <t>FAC4</t>
  </si>
  <si>
    <t>TESFAC4_1</t>
  </si>
  <si>
    <t>TESFAC4_2</t>
  </si>
  <si>
    <t>TESFAC4_3</t>
  </si>
  <si>
    <t>TESFAC4_4</t>
  </si>
  <si>
    <t>TESFAC4_5</t>
  </si>
  <si>
    <t>melaksanakan pekerjaan terdiri dari tugas-tugas yang jelas dan berhubungan secara langsung, dengan sedikit atau sama sekali tidak ada pilihan yang harus dibuat di dalam memutuskan apa yang harus dilakukan.Tindakan yang akan diambil atau respons yang harus dibuat sudah dapat dilihat. Pekerjaan secara cepat dapat dikuasai.</t>
  </si>
  <si>
    <t>melaksanakan pekerjaan yang terdiri dari tugas yang mencakup langkah, proses, atau metode yang berhubungan.Keputusan mengenai apa yang harus dilakukan, mencakup berbagai macam pilihan yang mempersyaratkan pegawai perlu mengenali keberadaan dan perbedaan diantara beberapa situasi yang secara mudah dapat dikenali. Tindakan yang diambil atau respons yang dibuat adalah berbeda tergantung pada sumber informasi, cara mendapatkan informasi (transaksi), atau perbedaan sifat faktual lainnya.</t>
  </si>
  <si>
    <t>melaksanakan pekerjaan yang mencakup berbagai tugas yang melibatkan proses dan metode yang berbeda dan tidak berhubungan. Keputusan mengenai apa yang harus dilakukan, tergantung pada analisa subjek, fase, atau persoalan yang terlibat dalam setiap tugas, atau tindakan yang diambil harus dipilih dari berbagai macam alternatif. Pekerjaan melibatkan kondisi dan elemen yang harus diidentifikasi dan dianalisa untuk melihat hubungan timbal balik</t>
  </si>
  <si>
    <t>Melaksanakan pekerjaan yang mencakup berbagai tugas yang membutuhkan berbagai macam proses dan metode yang berbeda dan tidak berhubungan, seperti tugas yang berhubungan dengan bidang pekerjaan administratif atau bidang pekerjaan profesional. Keputusan mengenai apa yang harus dilakukan, membutuhkan penilaian dari keadaan yang tidak lazim, variasi pendekatan, dan data yang tidak lengkap atau yang bermasalah. Pekerjaan mempersyaratkan beberapa keputusan tentang penginterpretasian data yang sangat besar, perencanaan kerja, atau penyempurnaan metode dan teknik yang akan digunakan.</t>
  </si>
  <si>
    <t>melaksanakan pekerjaan mencakup berbagai tugas yang membutuhkan berbagai macam proses dan metode yang berbeda dan tidak berhubungan, yang diterapkan pada suatu aktifitas yang luas atau analisa yang sangat dalam, khususnya untuk bidang pekerjaan administratif dan bidang pekerjaan profesional. Keputusan mengenai apa yang harus dilakukan, membutuhkan ketidakpastian yang besar dalam hal pendekatan, metodologi, atau interpretasi dan evaluasi proses, yang dihasilkan dari suatu unsur yang berubah dan berkelanjutan dalam program, pengembangan teknologi, fenomena yang tidak dapat diduga, atau persyaratan yang bermasalah. Pekerjaan membutuhkan teknik baru, penetapan kriteria baru, atau pengembangan informasi baru.</t>
  </si>
  <si>
    <t>FAKTOR 5</t>
  </si>
  <si>
    <t>RUANG LINGKUP DAN DAMPAK</t>
  </si>
  <si>
    <t>5 -</t>
  </si>
  <si>
    <t>FAC5</t>
  </si>
  <si>
    <t>TESFAC5_1</t>
  </si>
  <si>
    <t>TESFAC5_2</t>
  </si>
  <si>
    <t>TESFAC5_3</t>
  </si>
  <si>
    <t>TESFAC5_4</t>
  </si>
  <si>
    <t xml:space="preserve">meliputi pekerjaan tertentu bersifat rutin dengan beberapa prosedur yang terpisah. Hasil  kerja  dan  jasa  yang  diberikan  untuk  memfasilitasi  pekerjaan  orang  lain  tetapi mempunyai sedikit dampak di luar unit organisasi langsung.
</t>
  </si>
  <si>
    <t>meliputi pelaksanaan peraturan, regulasi, atau prosedur tertentu, dan merupakan bagian dari suatu tugas atau proyek dengan ruang lingkup yang lebih luas. Hasil  kerja  atau  jasa  mempengaruhi  keakuratan,  kelayakan,  atau  akseptabilitas  dari proses atau pelayanan lebih lanjut.</t>
  </si>
  <si>
    <t>meliputi  perlakuan  terhadap  berbagai  macam  masalah,  pertanyaan,  atau situasi  konvensional sesuai dengan kriteria yang ditetapkan. Hasil kerja atau jasa mempengaruhi desain atau operasi dari sistem, program, atau peralatan serta kelayakan  kegiatan dalam bidang tugasnya.</t>
  </si>
  <si>
    <t>meliputi penetapan kriteria; memformulasikan proyek; menilai efektifitas program; atau menginvestigasi atau menganalisa berbagai kondisi, masalah, atau pertanyaan yang tidak lazim dalam bidang tugasnya. Hasil kerja atau jasa mempengaruhi berbagai aktivitas lembaga, dan operasi instansi lain.</t>
  </si>
  <si>
    <t>FAKTOR 6</t>
  </si>
  <si>
    <t>HUBUNGAN PERSONAL</t>
  </si>
  <si>
    <t>6 -</t>
  </si>
  <si>
    <t>FAC6</t>
  </si>
  <si>
    <t>TESFAC6_1</t>
  </si>
  <si>
    <t>TESFAC6_2</t>
  </si>
  <si>
    <t>TESFAC6_3</t>
  </si>
  <si>
    <t>berhubungan dengan pegawai di unit organisasi, kantor perangkat daerah, atau unit kerja, dan di dalam unit pendukung. Dalam situasi yang tertentu, jabatan ini berhubungan dengan anggota masyarakat luas dengan tujuan hubungan dan siapa berhubungan relatif jelas.</t>
  </si>
  <si>
    <t xml:space="preserve">berhubungan dengan pegawai di dalam lembaga yang sama tetapi di luar unit organisasi yang berbeda dalam fungsi, misi, dan jenis kerja. Sedangkan hubungan dengan anggota masyarakat, pegawai jabatan ini sebagai individu atau grup. Hubungan biasanya ditetapkan atas dasar rutin, biasanya pada ruang kerja pegawai; tujuan dari hubungan tidak jelas pada awalnya untuk satu atau lebih kelompok; dan satu atau lebih pihak tidak terinformasi mengenai peranan dan wewenang maing-masing. </t>
  </si>
  <si>
    <t>berhubungan dengan individu atau grup dari luar instansi dan hubungan yang dilakukan tidak ditetapkan atas dasar rutin; tujuan dan maksud dari setiap hubungan berbeda; dan peranan dan wewenang masing-masing dikembangkan dan diidentifikasikan selama berhubungan.</t>
  </si>
  <si>
    <t>FAKTOR 7</t>
  </si>
  <si>
    <t>TUJUAN HUBUNGAN</t>
  </si>
  <si>
    <t>7 -</t>
  </si>
  <si>
    <t>FAC7</t>
  </si>
  <si>
    <t>TESFAC7_1</t>
  </si>
  <si>
    <t>TESFAC7_2</t>
  </si>
  <si>
    <t>TESFAC7_3</t>
  </si>
  <si>
    <t>Tujuan hubungan adalah untuk memperoleh, mengklarifikasi, atau memberikan fakta atau informasi tanpa menghiraukan sifat fakta, mulai dari fakta atau informasi yang mudah dimengerti sampai dengan yang sangat teknis.</t>
  </si>
  <si>
    <t>Tujuan hubungan adalah untuk merencanakan, mengkoordinasikan, atau mengarahkan pekerjaan atau untuk  memecahkan  masalah  dengan  mempengaruhi  atau  memotivasi individu atau kelompok untuk mencapai tujuan bersama dan yang pada dasarnya mempunyai sikap bekerjasama.</t>
  </si>
  <si>
    <t>Tujuan hubungan adalah untuk mempengaruhi, memotivasi, menginterogasi, mengawasi orang atau group (kelompok). Orang yang dihubungi mungkin penakut, skeptis, tidak mau bekerjasama, atau berbahaya. Pegawai dalam jabatan ini harus mempunyai keahlian dalam mendekati individu atau kelompok untuk mencapai tujuan yang diinginkan, seperti untuk mencapai kesesuaian dengan kebijakan dan peraturan yang ada melalui persuasi atau negosiasi, atau memperoleh informasi dengan membuat laporan kepada informan.</t>
  </si>
  <si>
    <t>FAKTOR 8</t>
  </si>
  <si>
    <t>PERSYARATAN FISIK</t>
  </si>
  <si>
    <t>8 -</t>
  </si>
  <si>
    <t>FAC8</t>
  </si>
  <si>
    <t>TESFAC8_1</t>
  </si>
  <si>
    <t>TESFAC8_2</t>
  </si>
  <si>
    <t>TESFAC8_3</t>
  </si>
  <si>
    <t>Pekerjaan adalah menetap. Pegawai dapat duduk dengan nyaman untuk melakukan pekerjaan. Walaupun demikian mungkin kadang-kadang berjalan, berdiri, menunduk, membawa benda ringan seperti kertas, buku atau bagian yang kecil; atau mengendarai sepeda motor atau mobil.  Tidak  ada  persyaratan  fisik  khusus  yang  dibutuhkan  untuk  melaksanakan pekerjaan.</t>
  </si>
  <si>
    <t>Pekerjaan dalam jabatan ini membutuhkan tenaga fisik seperti berdiri dalam waktu yang lama; berjalan di jalan yang kasar, tidak rata, atau permukaan berbatu; aktivitas memerlukan membengkok, meringkuk, membungkuk, merentangkan, mengapai, atau sejenisnya; mengangkat benda yang cukup berat berulang,  pekerjaan tersebut mungkin membutuhkan karakteristik dan kemampuan fisik seperti ketangkasan dan kegesitan di atas rata-rata.</t>
  </si>
  <si>
    <t>Pekerjaan ini membutuhkan tenaga fisik yang besar dan luar biasa seperti sering menaiki tangga yang tinggi, mengangkat benda berat, meringkuk atau merangkak di daerah terlarang, dan mempertahankan diri sendiri atau yang lain terhadap serangan fisik.</t>
  </si>
  <si>
    <t>FAKTOR 9</t>
  </si>
  <si>
    <t>LINGKUNGAN KERJA</t>
  </si>
  <si>
    <t>9 -</t>
  </si>
  <si>
    <t>FAC9</t>
  </si>
  <si>
    <t>TESFAC9_1</t>
  </si>
  <si>
    <t>TESFAC9_2</t>
  </si>
  <si>
    <t>TESFAC9_3</t>
  </si>
  <si>
    <t>melakukan pekerjaan pada lingkungan yang membawa resiko dan ketidaknyamanan setiap hari, yang membutuhkan tindakan pencegahan keamanan khususnya pada tempat-tempat seperti, kantor, ruang rapat dan pelatihan, perpustakaan, perumahan, kendaraan umum; antara lain, penggunaan praktek kerja yang aman pada peralatan kantor, menghindari licin dan jatuh, pengamatan peraturan kebakaran dan tanda lalu lintas. Situasi kerja cukup terang, tidak panas, dan cukup ventilasi.</t>
  </si>
  <si>
    <t>melakukan pekerjaan pada lingkungan yang membawa resiko tinggi dengan berhadapan pada situasi bahaya yang sangat potensial atau stres lingkungan yang tidak umum, yang mempersyaratkan pengamanan dan tindakan pencegahan antara lain: bekerja pada tempat yang sangat tinggi dibawah kondisi cuaca yang ekstrim, yang memungkinkan serangan fisik, atau situasi sejenis dimana kondisi tidak dapat dikontrol.</t>
  </si>
  <si>
    <t xml:space="preserve">melakukan pekerjaan pada lingkungan yang membawa resiko dan ketidaknyamanan yang cukup besar, yang memerlukan tindakan pencegahan keamanan khusus antara lain, bekerja disekitar benda bergerak, kereta, atau mesin; berhadapan dengan penyakit menular atau iritasi bahan kimia. Pegawai dipersyaratkan menggunakan pakaian pelindung, seperti topeng, baju, jaket, sepatu boot, kacamata debu, sarungtangan, atau baju pelindung. </t>
  </si>
  <si>
    <t>V.</t>
  </si>
  <si>
    <t>PERSYARATAN JABATAN TERTENTU</t>
  </si>
  <si>
    <t>Terakhir diperbarui</t>
  </si>
  <si>
    <t>FORMULIR HASIL EVALUASI JABATAN PELAKSANA</t>
  </si>
  <si>
    <t>Perangkat Daerah</t>
  </si>
  <si>
    <t>Faktor Evaluasi</t>
  </si>
  <si>
    <t>Nilai Yang diberikan</t>
  </si>
  <si>
    <t>Standar Jabatan yang digunakan     (jika ada)</t>
  </si>
  <si>
    <t>Keterangan</t>
  </si>
  <si>
    <t>Faktor 1</t>
  </si>
  <si>
    <t>Pengetahuan Yang Dibutuhkan Jabatan</t>
  </si>
  <si>
    <t>Tingkat Faktor 1</t>
  </si>
  <si>
    <t>Faktor 2</t>
  </si>
  <si>
    <t>Pengawasan Penyelia</t>
  </si>
  <si>
    <t>Tingkat Faktor 2</t>
  </si>
  <si>
    <t>Faktor 3</t>
  </si>
  <si>
    <t>Pedoman</t>
  </si>
  <si>
    <t>Tingkat Faktor 3</t>
  </si>
  <si>
    <t>Faktor 4</t>
  </si>
  <si>
    <t>Kompleksitas</t>
  </si>
  <si>
    <t>Tingkat Faktor 4</t>
  </si>
  <si>
    <t>Faktor 5</t>
  </si>
  <si>
    <t>Ruang Lingkup dan Dampak</t>
  </si>
  <si>
    <t>Tingkat Faktor 5</t>
  </si>
  <si>
    <t>Faktor 6</t>
  </si>
  <si>
    <t>Hubungan Personal</t>
  </si>
  <si>
    <t>Tingkat Faktor 6</t>
  </si>
  <si>
    <t>Faktor 7</t>
  </si>
  <si>
    <t>Tujuan Hubungan</t>
  </si>
  <si>
    <t>Tingkat Faktor 7</t>
  </si>
  <si>
    <t>Faktor 8</t>
  </si>
  <si>
    <t>Persyaratan Fisik</t>
  </si>
  <si>
    <t>Tingkat Faktor 8</t>
  </si>
  <si>
    <t>Faktor 9</t>
  </si>
  <si>
    <t>Lingkungan Kerja</t>
  </si>
  <si>
    <t>Tingkat Faktor 9</t>
  </si>
  <si>
    <t>KESIMPULAN</t>
  </si>
  <si>
    <t>Total Nilai</t>
  </si>
  <si>
    <t>Kelas Jabatan</t>
  </si>
  <si>
    <t>Tim Penyusunan Evaluasi Jabatan</t>
  </si>
  <si>
    <t>Ketua,</t>
  </si>
  <si>
    <t>----------------------------------------</t>
  </si>
  <si>
    <t>Pejabat yang bersangkutan</t>
  </si>
  <si>
    <t>Kepala Perangkat Daerah</t>
  </si>
  <si>
    <t>-----------------------------------------</t>
  </si>
  <si>
    <t>NIP.</t>
  </si>
  <si>
    <t>INFORMASI JABATAN</t>
  </si>
  <si>
    <t>JPT Utama</t>
  </si>
  <si>
    <t>JPT Madya</t>
  </si>
  <si>
    <t>JPT Pratama/UOBK</t>
  </si>
  <si>
    <t>Administrator</t>
  </si>
  <si>
    <t>Pengawas</t>
  </si>
  <si>
    <t>Pelaksana</t>
  </si>
  <si>
    <t>Jabatan Fungsional</t>
  </si>
  <si>
    <t>KUALIFIKASI JABATAN</t>
  </si>
  <si>
    <t>Pendidikan Formal</t>
  </si>
  <si>
    <t>Pendidikan dan Pelatihan</t>
  </si>
  <si>
    <t>Diklat teknis sesuai bidang tugas</t>
  </si>
  <si>
    <t>TUGAS POKOK</t>
  </si>
  <si>
    <t>NO</t>
  </si>
  <si>
    <t>HASIL KERJA</t>
  </si>
  <si>
    <t>JUMLAH HASIL</t>
  </si>
  <si>
    <t>WAKTU PENYELESAIAN (JAM)</t>
  </si>
  <si>
    <t>WAKTU EFEKTIF</t>
  </si>
  <si>
    <t>KEBUTUHAN PEGAWAI</t>
  </si>
  <si>
    <t>JUMLAH</t>
  </si>
  <si>
    <t>JUMLAH PEGAWAI</t>
  </si>
  <si>
    <t>BAHAN KERJA</t>
  </si>
  <si>
    <t>PERANGKAT KERJA</t>
  </si>
  <si>
    <t>WEWENANG</t>
  </si>
  <si>
    <t>KORELASI JABATAN</t>
  </si>
  <si>
    <t>KONDISI LINGKUNGAN KERJA</t>
  </si>
  <si>
    <t>RESIKO BAHAYA</t>
  </si>
  <si>
    <t>SYARAT JABATAN</t>
  </si>
  <si>
    <t>Pustur Badan</t>
  </si>
  <si>
    <t>Fungsi Pekerjaan</t>
  </si>
  <si>
    <t>PRESTASI YANG DIHARAPKAN</t>
  </si>
  <si>
    <t>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</si>
</sst>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 #,##0_-;_-* &quot;-&quot;_-;_-@_-"/>
    <numFmt numFmtId="165" formatCode="_-* #,##0.0_-;\-* #,##0.0_-;_-* &quot;-&quot;?_-;_-@_-"/>
    <numFmt numFmtId="166" formatCode="_-* #,##0.00_-;\-* #,##0.00_-;_-* &quot;-&quot;??_-;_-@_-"/>
    <numFmt numFmtId="167" formatCode="_-* #,##0.00_-;\-* #,##0.00_-;_-* &quot;-&quot;_-;_-@_-"/>
    <numFmt numFmtId="168" formatCode="_-* #,##0.0000_-;\-* #,##0.0000_-;_-* &quot;-&quot;_-;_-@_-"/>
    <numFmt numFmtId="169" formatCode="_-* #,##0.00_-;\-* #,##0.00_-;_-* &quot;-&quot;?_-;_-@_-"/>
    <numFmt numFmtId="170" formatCode="_-* #,##0.0_-;\-* #,##0.0_-;_-* &quot;-&quot;_-;_-@_-"/>
  </numFmts>
  <fonts count="37" x14ac:knownFonts="1">
    <font>
      <sz val="11"/>
      <color rgb="FF000000"/>
      <name val="Calibri"/>
    </font>
    <font>
      <sz val="11"/>
      <color rgb="FF000000"/>
      <name val="Bookman Old Style"/>
    </font>
    <font>
      <sz val="11"/>
      <color rgb="FF000000"/>
      <name val="Arial Narrow"/>
    </font>
    <font>
      <sz val="8"/>
      <color rgb="FF000000"/>
      <name val="Arial Narrow"/>
    </font>
    <font>
      <sz val="9"/>
      <color rgb="FF000000"/>
      <name val="Arial Narrow"/>
    </font>
    <font>
      <sz val="5"/>
      <color rgb="FFC00000"/>
      <name val="Arial Narrow"/>
    </font>
    <font>
      <sz val="12"/>
      <color rgb="FF000000"/>
      <name val="Arial Narrow"/>
    </font>
    <font>
      <b/>
      <sz val="12"/>
      <color rgb="FF000000"/>
      <name val="Arial Narrow"/>
    </font>
    <font>
      <b/>
      <sz val="11"/>
      <color rgb="FF000000"/>
      <name val="Agency FB"/>
    </font>
    <font>
      <b/>
      <sz val="11"/>
      <color rgb="FFFF0000"/>
      <name val="Agency FB"/>
    </font>
    <font>
      <sz val="11"/>
      <color rgb="FF000000"/>
      <name val="Agency FB"/>
    </font>
    <font>
      <b/>
      <sz val="11"/>
      <color rgb="FF0070C0"/>
      <name val="Agency FB"/>
    </font>
    <font>
      <b/>
      <sz val="11"/>
      <color rgb="FF002060"/>
      <name val="Agency FB"/>
    </font>
    <font>
      <b/>
      <sz val="11"/>
      <color rgb="FF903C39"/>
      <name val="Agency FB"/>
    </font>
    <font>
      <b/>
      <sz val="11"/>
      <color rgb="FF00B050"/>
      <name val="Agency FB"/>
    </font>
    <font>
      <sz val="9"/>
      <color rgb="FFFF0000"/>
      <name val="Calibri"/>
    </font>
    <font>
      <sz val="9"/>
      <color rgb="FF000000"/>
      <name val="Calibri"/>
    </font>
    <font>
      <i/>
      <sz val="9"/>
      <color rgb="FFC00000"/>
      <name val="Calibri"/>
    </font>
    <font>
      <sz val="9"/>
      <color rgb="FFC00000"/>
      <name val="Calibri"/>
    </font>
    <font>
      <sz val="10"/>
      <color rgb="FF000000"/>
      <name val="Arial Narrow"/>
    </font>
    <font>
      <b/>
      <sz val="10"/>
      <color rgb="FF000000"/>
      <name val="Arial Narrow"/>
    </font>
    <font>
      <sz val="12"/>
      <color rgb="FFC00000"/>
      <name val="Arial Narrow"/>
    </font>
    <font>
      <sz val="9"/>
      <color rgb="FFFF0000"/>
      <name val="Arial Narrow"/>
    </font>
    <font>
      <sz val="5"/>
      <color rgb="FF000000"/>
      <name val="Arial Narrow"/>
    </font>
    <font>
      <sz val="7"/>
      <color rgb="FFC00000"/>
      <name val="Arial Narrow"/>
    </font>
    <font>
      <sz val="9"/>
      <color rgb="FFC00000"/>
      <name val="Arial Narrow"/>
    </font>
    <font>
      <sz val="8"/>
      <color rgb="FFC00000"/>
      <name val="Arial Narrow"/>
    </font>
    <font>
      <b/>
      <sz val="8"/>
      <color rgb="FF000000"/>
      <name val="Arial Narrow"/>
    </font>
    <font>
      <b/>
      <sz val="7"/>
      <color rgb="FF000000"/>
      <name val="Arial Narrow"/>
    </font>
    <font>
      <sz val="7"/>
      <color rgb="FF000000"/>
      <name val="Arial Narrow"/>
    </font>
    <font>
      <i/>
      <sz val="8"/>
      <color rgb="FFFF0000"/>
      <name val="Arial Narrow"/>
    </font>
    <font>
      <i/>
      <sz val="8"/>
      <color rgb="FF000000"/>
      <name val="Arial Narrow"/>
    </font>
    <font>
      <sz val="5"/>
      <color rgb="FFFF0000"/>
      <name val="Arial Narrow"/>
    </font>
    <font>
      <b/>
      <sz val="9"/>
      <color rgb="FF000000"/>
      <name val="Arial Narrow"/>
    </font>
    <font>
      <b/>
      <sz val="18"/>
      <color rgb="FF000000"/>
      <name val="Agency FB"/>
    </font>
    <font>
      <b/>
      <sz val="11"/>
      <color rgb="FF000000"/>
      <name val="Arial Narrow"/>
    </font>
    <font>
      <b/>
      <u/>
      <sz val="10"/>
      <color rgb="FF000000"/>
      <name val="Arial Narrow"/>
    </font>
  </fonts>
  <fills count="18">
    <fill>
      <patternFill patternType="none"/>
    </fill>
    <fill>
      <patternFill patternType="gray125"/>
    </fill>
    <fill>
      <patternFill patternType="none"/>
    </fill>
    <fill>
      <patternFill patternType="solid">
        <fgColor rgb="FFFFFFFF"/>
        <bgColor rgb="FFFFFFFF"/>
      </patternFill>
    </fill>
    <fill>
      <patternFill patternType="solid">
        <fgColor rgb="FFC2D69B"/>
        <bgColor rgb="FFFFFFFF"/>
      </patternFill>
    </fill>
    <fill>
      <patternFill patternType="solid">
        <fgColor rgb="FFFFFF00"/>
        <bgColor rgb="FFFFFFFF"/>
      </patternFill>
    </fill>
    <fill>
      <patternFill patternType="solid">
        <fgColor rgb="FFFF0000"/>
        <bgColor rgb="FFFFFFFF"/>
      </patternFill>
    </fill>
    <fill>
      <patternFill patternType="solid">
        <fgColor rgb="FFFBD4B4"/>
        <bgColor rgb="FFFFFFFF"/>
      </patternFill>
    </fill>
    <fill>
      <patternFill patternType="solid">
        <fgColor rgb="FFFABF8F"/>
        <bgColor rgb="FFFFFFFF"/>
      </patternFill>
    </fill>
    <fill>
      <patternFill patternType="solid">
        <fgColor rgb="FFD6D4CA"/>
        <bgColor rgb="FFFFFFFF"/>
      </patternFill>
    </fill>
    <fill>
      <patternFill patternType="solid">
        <fgColor rgb="FF92CDDC"/>
        <bgColor rgb="FFFFFFFF"/>
      </patternFill>
    </fill>
    <fill>
      <patternFill patternType="solid">
        <fgColor rgb="FF95B3D7"/>
        <bgColor rgb="FFFFFFFF"/>
      </patternFill>
    </fill>
    <fill>
      <patternFill patternType="solid">
        <fgColor rgb="FFD6E3BC"/>
        <bgColor rgb="FFFFFFFF"/>
      </patternFill>
    </fill>
    <fill>
      <patternFill patternType="solid">
        <fgColor rgb="FF9BBB59"/>
        <bgColor rgb="FFFFFFFF"/>
      </patternFill>
    </fill>
    <fill>
      <patternFill patternType="solid">
        <fgColor rgb="FFD8D8D8"/>
        <bgColor rgb="FFFFFFFF"/>
      </patternFill>
    </fill>
    <fill>
      <patternFill patternType="solid">
        <fgColor rgb="FFFDE9D9"/>
        <bgColor rgb="FFFFFFFF"/>
      </patternFill>
    </fill>
    <fill>
      <patternFill patternType="gray0625">
        <fgColor rgb="FF000000"/>
        <bgColor rgb="FFEAF1DD"/>
      </patternFill>
    </fill>
    <fill>
      <patternFill patternType="solid">
        <fgColor rgb="FFDBE5F1"/>
        <bgColor rgb="FFFFFFFF"/>
      </patternFill>
    </fill>
  </fills>
  <borders count="52">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medium">
        <color rgb="FF000000"/>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diagonal/>
    </border>
    <border>
      <left/>
      <right style="thin">
        <color rgb="FF000000"/>
      </right>
      <top style="medium">
        <color rgb="FF000000"/>
      </top>
      <bottom style="medium">
        <color rgb="FF000000"/>
      </bottom>
      <diagonal/>
    </border>
    <border>
      <left/>
      <right/>
      <top style="medium">
        <color rgb="FF000000"/>
      </top>
      <bottom/>
      <diagonal/>
    </border>
    <border>
      <left/>
      <right/>
      <top/>
      <bottom style="double">
        <color rgb="FF00206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bottom style="double">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diagonal/>
    </border>
    <border>
      <left/>
      <right/>
      <top/>
      <bottom style="thick">
        <color rgb="FF000000"/>
      </bottom>
      <diagonal/>
    </border>
  </borders>
  <cellStyleXfs count="1">
    <xf numFmtId="0" fontId="0" fillId="0" borderId="0"/>
  </cellStyleXfs>
  <cellXfs count="364">
    <xf numFmtId="0" fontId="0" fillId="2" borderId="0" xfId="0" applyFill="1"/>
    <xf numFmtId="49" fontId="1" fillId="2" borderId="0" xfId="0" applyNumberFormat="1" applyFont="1" applyFill="1" applyAlignment="1">
      <alignment horizontal="center"/>
    </xf>
    <xf numFmtId="0" fontId="1" fillId="2" borderId="0" xfId="0" applyFont="1" applyFill="1"/>
    <xf numFmtId="0" fontId="1" fillId="2" borderId="0" xfId="0" applyFont="1" applyFill="1" applyAlignment="1">
      <alignment horizontal="center"/>
    </xf>
    <xf numFmtId="164" fontId="1" fillId="2" borderId="0" xfId="0" applyNumberFormat="1" applyFont="1" applyFill="1"/>
    <xf numFmtId="0" fontId="2" fillId="2" borderId="0" xfId="0" applyFont="1" applyFill="1"/>
    <xf numFmtId="0" fontId="3" fillId="2" borderId="0" xfId="0" applyFont="1" applyFill="1" applyAlignment="1">
      <alignment horizontal="center"/>
    </xf>
    <xf numFmtId="0" fontId="3" fillId="2" borderId="0" xfId="0" applyFont="1" applyFill="1"/>
    <xf numFmtId="0" fontId="4" fillId="2" borderId="0" xfId="0" applyFont="1" applyFill="1"/>
    <xf numFmtId="0" fontId="4" fillId="3" borderId="0" xfId="0" applyFont="1" applyFill="1"/>
    <xf numFmtId="0" fontId="5" fillId="2" borderId="0" xfId="0" applyFont="1" applyFill="1" applyAlignment="1">
      <alignment vertical="top"/>
    </xf>
    <xf numFmtId="0" fontId="3" fillId="2" borderId="0" xfId="0" applyFont="1" applyFill="1" applyAlignment="1">
      <alignment horizontal="justify" vertical="top"/>
    </xf>
    <xf numFmtId="0" fontId="2" fillId="2" borderId="0" xfId="0" applyFont="1" applyFill="1" applyAlignment="1">
      <alignment vertical="top"/>
    </xf>
    <xf numFmtId="0" fontId="6" fillId="2" borderId="0" xfId="0" applyFont="1" applyFill="1" applyAlignment="1">
      <alignment vertical="center"/>
    </xf>
    <xf numFmtId="0" fontId="6" fillId="2" borderId="0" xfId="0" applyFont="1" applyFill="1"/>
    <xf numFmtId="0" fontId="7" fillId="2" borderId="0" xfId="0" applyFont="1" applyFill="1" applyAlignment="1">
      <alignment horizontal="center"/>
    </xf>
    <xf numFmtId="0" fontId="7" fillId="2" borderId="0" xfId="0" applyFont="1" applyFill="1"/>
    <xf numFmtId="0" fontId="8" fillId="2" borderId="1" xfId="0" applyFont="1" applyFill="1" applyBorder="1" applyAlignment="1">
      <alignment horizontal="left" vertical="center"/>
    </xf>
    <xf numFmtId="0" fontId="9" fillId="2" borderId="2" xfId="0" applyFont="1" applyFill="1" applyBorder="1" applyAlignment="1">
      <alignment horizontal="left" vertical="center"/>
    </xf>
    <xf numFmtId="0" fontId="8" fillId="4" borderId="1" xfId="0" applyFont="1" applyFill="1" applyBorder="1" applyAlignment="1">
      <alignment horizontal="left" vertical="center"/>
    </xf>
    <xf numFmtId="0" fontId="8" fillId="5" borderId="1" xfId="0" applyFont="1" applyFill="1" applyBorder="1" applyAlignment="1">
      <alignment horizontal="left" vertical="center"/>
    </xf>
    <xf numFmtId="0" fontId="10" fillId="5" borderId="2" xfId="0" applyFont="1" applyFill="1" applyBorder="1" applyAlignment="1">
      <alignment horizontal="left" vertical="center"/>
    </xf>
    <xf numFmtId="0" fontId="10" fillId="5" borderId="2" xfId="0" applyFont="1" applyFill="1" applyBorder="1" applyAlignment="1">
      <alignment horizontal="left" vertical="center" wrapText="1"/>
    </xf>
    <xf numFmtId="0" fontId="8" fillId="5" borderId="1" xfId="0" applyFont="1" applyFill="1" applyBorder="1" applyAlignment="1">
      <alignment horizontal="left" vertical="top"/>
    </xf>
    <xf numFmtId="0" fontId="10" fillId="5" borderId="2" xfId="0" applyFont="1" applyFill="1" applyBorder="1" applyAlignment="1">
      <alignment horizontal="left" vertical="top" wrapText="1"/>
    </xf>
    <xf numFmtId="0" fontId="8" fillId="6" borderId="1" xfId="0" applyFont="1" applyFill="1" applyBorder="1" applyAlignment="1">
      <alignment horizontal="left" vertical="center"/>
    </xf>
    <xf numFmtId="0" fontId="8" fillId="7" borderId="1" xfId="0" applyFont="1" applyFill="1" applyBorder="1" applyAlignment="1">
      <alignment horizontal="left" vertical="center"/>
    </xf>
    <xf numFmtId="0" fontId="10" fillId="7" borderId="2" xfId="0" applyFont="1" applyFill="1" applyBorder="1" applyAlignment="1">
      <alignment horizontal="left" vertical="center" wrapText="1"/>
    </xf>
    <xf numFmtId="0" fontId="8" fillId="8" borderId="1" xfId="0" applyFont="1" applyFill="1" applyBorder="1" applyAlignment="1">
      <alignment horizontal="left" vertical="center"/>
    </xf>
    <xf numFmtId="0" fontId="11" fillId="9" borderId="1" xfId="0" applyFont="1" applyFill="1" applyBorder="1" applyAlignment="1">
      <alignment horizontal="left" vertical="center"/>
    </xf>
    <xf numFmtId="0" fontId="11" fillId="4" borderId="1" xfId="0" applyFont="1" applyFill="1" applyBorder="1" applyAlignment="1">
      <alignment horizontal="left" vertical="center"/>
    </xf>
    <xf numFmtId="0" fontId="8" fillId="10" borderId="1" xfId="0" applyFont="1" applyFill="1" applyBorder="1" applyAlignment="1">
      <alignment horizontal="left" vertical="center"/>
    </xf>
    <xf numFmtId="0" fontId="8" fillId="11" borderId="1" xfId="0" applyFont="1" applyFill="1" applyBorder="1" applyAlignment="1">
      <alignment horizontal="left" vertical="center"/>
    </xf>
    <xf numFmtId="0" fontId="8" fillId="12" borderId="1" xfId="0" applyFont="1" applyFill="1" applyBorder="1" applyAlignment="1">
      <alignment horizontal="left" vertical="center"/>
    </xf>
    <xf numFmtId="0" fontId="10" fillId="12" borderId="2" xfId="0" applyFont="1" applyFill="1" applyBorder="1" applyAlignment="1">
      <alignment horizontal="left" vertical="center" wrapText="1"/>
    </xf>
    <xf numFmtId="0" fontId="9" fillId="2" borderId="3" xfId="0" applyFont="1" applyFill="1" applyBorder="1" applyAlignment="1">
      <alignment horizontal="center" vertical="center"/>
    </xf>
    <xf numFmtId="0" fontId="8" fillId="5" borderId="3" xfId="0" applyFont="1" applyFill="1" applyBorder="1" applyAlignment="1">
      <alignment horizontal="center" vertical="center"/>
    </xf>
    <xf numFmtId="0" fontId="8" fillId="7" borderId="3" xfId="0" applyFont="1" applyFill="1" applyBorder="1" applyAlignment="1">
      <alignment horizontal="center" vertical="center"/>
    </xf>
    <xf numFmtId="0" fontId="8" fillId="8" borderId="3" xfId="0" applyFont="1" applyFill="1" applyBorder="1" applyAlignment="1">
      <alignment horizontal="center" vertical="center"/>
    </xf>
    <xf numFmtId="0" fontId="8" fillId="9" borderId="3" xfId="0" applyFont="1" applyFill="1" applyBorder="1" applyAlignment="1">
      <alignment horizontal="center" vertical="center"/>
    </xf>
    <xf numFmtId="0" fontId="8" fillId="4" borderId="3" xfId="0" applyFont="1" applyFill="1" applyBorder="1" applyAlignment="1">
      <alignment horizontal="center" vertical="center"/>
    </xf>
    <xf numFmtId="0" fontId="8" fillId="10" borderId="3" xfId="0" applyFont="1" applyFill="1" applyBorder="1" applyAlignment="1">
      <alignment horizontal="center" vertical="center"/>
    </xf>
    <xf numFmtId="0" fontId="8" fillId="11" borderId="3" xfId="0" applyFont="1" applyFill="1" applyBorder="1" applyAlignment="1">
      <alignment horizontal="center" vertical="center"/>
    </xf>
    <xf numFmtId="0" fontId="8" fillId="13" borderId="3" xfId="0" applyFont="1" applyFill="1" applyBorder="1" applyAlignment="1">
      <alignment horizontal="center" vertical="center"/>
    </xf>
    <xf numFmtId="0" fontId="8" fillId="12" borderId="3" xfId="0" applyFont="1" applyFill="1" applyBorder="1" applyAlignment="1">
      <alignment horizontal="center" vertical="center"/>
    </xf>
    <xf numFmtId="0" fontId="9" fillId="2" borderId="4" xfId="0" applyFont="1" applyFill="1" applyBorder="1" applyAlignment="1">
      <alignment horizontal="left" vertical="center"/>
    </xf>
    <xf numFmtId="0" fontId="8" fillId="5" borderId="4" xfId="0" applyFont="1" applyFill="1" applyBorder="1" applyAlignment="1">
      <alignment horizontal="left" vertical="center"/>
    </xf>
    <xf numFmtId="0" fontId="8" fillId="5" borderId="4" xfId="0" applyFont="1" applyFill="1" applyBorder="1" applyAlignment="1">
      <alignment horizontal="left" vertical="top"/>
    </xf>
    <xf numFmtId="0" fontId="8" fillId="7" borderId="4" xfId="0" applyFont="1" applyFill="1" applyBorder="1" applyAlignment="1">
      <alignment horizontal="left" vertical="center"/>
    </xf>
    <xf numFmtId="0" fontId="8" fillId="8" borderId="4" xfId="0" applyFont="1" applyFill="1" applyBorder="1" applyAlignment="1">
      <alignment horizontal="left" vertical="center"/>
    </xf>
    <xf numFmtId="0" fontId="11" fillId="9" borderId="4" xfId="0" applyFont="1" applyFill="1" applyBorder="1" applyAlignment="1">
      <alignment horizontal="left"/>
    </xf>
    <xf numFmtId="0" fontId="11" fillId="9" borderId="2" xfId="0" applyFont="1" applyFill="1" applyBorder="1" applyAlignment="1">
      <alignment horizontal="left"/>
    </xf>
    <xf numFmtId="0" fontId="11" fillId="4" borderId="4" xfId="0" applyFont="1" applyFill="1" applyBorder="1" applyAlignment="1">
      <alignment horizontal="left"/>
    </xf>
    <xf numFmtId="0" fontId="11" fillId="4" borderId="2" xfId="0" applyFont="1" applyFill="1" applyBorder="1" applyAlignment="1">
      <alignment horizontal="left"/>
    </xf>
    <xf numFmtId="0" fontId="8" fillId="4" borderId="4" xfId="0" applyFont="1" applyFill="1" applyBorder="1" applyAlignment="1">
      <alignment horizontal="left" vertical="center"/>
    </xf>
    <xf numFmtId="0" fontId="8" fillId="10" borderId="4" xfId="0" applyFont="1" applyFill="1" applyBorder="1" applyAlignment="1">
      <alignment horizontal="left" vertical="center" wrapText="1"/>
    </xf>
    <xf numFmtId="0" fontId="10" fillId="10" borderId="2" xfId="0" applyFont="1" applyFill="1" applyBorder="1" applyAlignment="1">
      <alignment horizontal="left" vertical="center"/>
    </xf>
    <xf numFmtId="0" fontId="9" fillId="11" borderId="4"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12" fillId="11"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14" fillId="11"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9" fillId="13" borderId="4" xfId="0" applyFont="1" applyFill="1" applyBorder="1" applyAlignment="1">
      <alignment horizontal="left" vertical="center" wrapText="1"/>
    </xf>
    <xf numFmtId="0" fontId="8" fillId="13" borderId="1" xfId="0" applyFont="1" applyFill="1" applyBorder="1" applyAlignment="1">
      <alignment horizontal="left" vertical="center"/>
    </xf>
    <xf numFmtId="0" fontId="12" fillId="13" borderId="4" xfId="0" applyFont="1" applyFill="1" applyBorder="1" applyAlignment="1">
      <alignment horizontal="left" vertical="center" wrapText="1"/>
    </xf>
    <xf numFmtId="0" fontId="13" fillId="13" borderId="4" xfId="0" applyFont="1" applyFill="1" applyBorder="1" applyAlignment="1">
      <alignment horizontal="left" vertical="center" wrapText="1"/>
    </xf>
    <xf numFmtId="0" fontId="11" fillId="13" borderId="4" xfId="0" applyFont="1" applyFill="1" applyBorder="1" applyAlignment="1">
      <alignment horizontal="left" vertical="center" wrapText="1"/>
    </xf>
    <xf numFmtId="0" fontId="14" fillId="13"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8" fillId="12" borderId="4" xfId="0" applyFont="1" applyFill="1" applyBorder="1" applyAlignment="1">
      <alignment horizontal="left" vertical="center"/>
    </xf>
    <xf numFmtId="0" fontId="8" fillId="4" borderId="2" xfId="0" applyFont="1" applyFill="1" applyBorder="1" applyAlignment="1">
      <alignment horizontal="left" vertical="center"/>
    </xf>
    <xf numFmtId="0" fontId="8" fillId="8" borderId="2" xfId="0" applyFont="1" applyFill="1" applyBorder="1" applyAlignment="1">
      <alignment horizontal="left" vertical="center"/>
    </xf>
    <xf numFmtId="0" fontId="8" fillId="13" borderId="2" xfId="0" applyFont="1" applyFill="1" applyBorder="1" applyAlignment="1">
      <alignment horizontal="left" vertical="center" wrapText="1"/>
    </xf>
    <xf numFmtId="0" fontId="8" fillId="6" borderId="3" xfId="0" applyFont="1" applyFill="1" applyBorder="1" applyAlignment="1">
      <alignment horizontal="center" vertical="center"/>
    </xf>
    <xf numFmtId="0" fontId="8" fillId="6" borderId="4" xfId="0" applyFont="1" applyFill="1" applyBorder="1" applyAlignment="1">
      <alignment horizontal="left" vertical="center"/>
    </xf>
    <xf numFmtId="0" fontId="10" fillId="6" borderId="2" xfId="0" applyFont="1" applyFill="1" applyBorder="1" applyAlignment="1">
      <alignment horizontal="left" vertical="center" wrapText="1"/>
    </xf>
    <xf numFmtId="0" fontId="3" fillId="3" borderId="0" xfId="0" applyFont="1" applyFill="1" applyAlignment="1">
      <alignment horizontal="center"/>
    </xf>
    <xf numFmtId="0" fontId="3" fillId="3" borderId="0" xfId="0" applyFont="1" applyFill="1"/>
    <xf numFmtId="0" fontId="3" fillId="2" borderId="5" xfId="0" applyFont="1" applyFill="1" applyBorder="1" applyAlignment="1">
      <alignment horizontal="center" vertical="top"/>
    </xf>
    <xf numFmtId="0" fontId="3" fillId="2" borderId="3" xfId="0" applyFont="1" applyFill="1" applyBorder="1" applyAlignment="1">
      <alignment horizontal="center" vertical="top"/>
    </xf>
    <xf numFmtId="0" fontId="3" fillId="2" borderId="3" xfId="0" applyFont="1" applyFill="1" applyBorder="1" applyAlignment="1">
      <alignment horizontal="center"/>
    </xf>
    <xf numFmtId="0" fontId="4" fillId="3" borderId="0" xfId="0" applyFont="1" applyFill="1" applyAlignment="1">
      <alignment horizontal="center"/>
    </xf>
    <xf numFmtId="0" fontId="4" fillId="2" borderId="0" xfId="0" applyFont="1" applyFill="1" applyAlignment="1">
      <alignment horizontal="center"/>
    </xf>
    <xf numFmtId="0" fontId="15" fillId="2" borderId="0" xfId="0" applyFont="1" applyFill="1"/>
    <xf numFmtId="0" fontId="16" fillId="2" borderId="0" xfId="0" applyFont="1" applyFill="1"/>
    <xf numFmtId="0" fontId="17" fillId="2" borderId="0" xfId="0" applyFont="1" applyFill="1"/>
    <xf numFmtId="165" fontId="17" fillId="2" borderId="0" xfId="0" applyNumberFormat="1" applyFont="1" applyFill="1" applyAlignment="1">
      <alignment vertical="top"/>
    </xf>
    <xf numFmtId="0" fontId="18" fillId="2" borderId="0" xfId="0" applyFont="1" applyFill="1"/>
    <xf numFmtId="0" fontId="4" fillId="2" borderId="0" xfId="0" applyFont="1" applyFill="1" applyAlignment="1">
      <alignment horizontal="left"/>
    </xf>
    <xf numFmtId="0" fontId="7" fillId="5" borderId="0" xfId="0" applyFont="1" applyFill="1" applyAlignment="1">
      <alignment horizontal="center"/>
    </xf>
    <xf numFmtId="166" fontId="19" fillId="5" borderId="0" xfId="0" applyNumberFormat="1" applyFont="1" applyFill="1" applyAlignment="1">
      <alignment horizontal="left"/>
    </xf>
    <xf numFmtId="0" fontId="20" fillId="5" borderId="0" xfId="0" applyFont="1" applyFill="1"/>
    <xf numFmtId="0" fontId="21" fillId="2" borderId="0" xfId="0" applyFont="1" applyFill="1"/>
    <xf numFmtId="0" fontId="21" fillId="2" borderId="0" xfId="0" applyFont="1" applyFill="1" applyAlignment="1">
      <alignment vertical="center"/>
    </xf>
    <xf numFmtId="0" fontId="19" fillId="3" borderId="0" xfId="0" applyFont="1" applyFill="1" applyAlignment="1">
      <alignment horizontal="center"/>
    </xf>
    <xf numFmtId="0" fontId="22" fillId="2" borderId="0" xfId="0" applyFont="1" applyFill="1"/>
    <xf numFmtId="0" fontId="4" fillId="3" borderId="0" xfId="0" applyFont="1" applyFill="1"/>
    <xf numFmtId="0" fontId="4" fillId="2" borderId="0" xfId="0" applyFont="1" applyFill="1"/>
    <xf numFmtId="0" fontId="23" fillId="2" borderId="0" xfId="0" applyFont="1" applyFill="1" applyAlignment="1">
      <alignment vertical="top"/>
    </xf>
    <xf numFmtId="0" fontId="3" fillId="2" borderId="0" xfId="0" applyFont="1" applyFill="1"/>
    <xf numFmtId="0" fontId="23" fillId="2" borderId="0" xfId="0" applyFont="1" applyFill="1" applyAlignment="1">
      <alignment wrapText="1"/>
    </xf>
    <xf numFmtId="0" fontId="24" fillId="2" borderId="0" xfId="0" applyFont="1" applyFill="1"/>
    <xf numFmtId="0" fontId="25" fillId="2" borderId="0" xfId="0" applyFont="1" applyFill="1"/>
    <xf numFmtId="16" fontId="5" fillId="2" borderId="0" xfId="0" applyNumberFormat="1" applyFont="1" applyFill="1" applyAlignment="1">
      <alignment vertical="top"/>
    </xf>
    <xf numFmtId="0" fontId="5" fillId="5" borderId="0" xfId="0" applyFont="1" applyFill="1" applyAlignment="1">
      <alignment vertical="top" wrapText="1"/>
    </xf>
    <xf numFmtId="0" fontId="5" fillId="2" borderId="0" xfId="0" applyFont="1" applyFill="1" applyAlignment="1">
      <alignment vertical="top" wrapText="1"/>
    </xf>
    <xf numFmtId="0" fontId="5" fillId="2" borderId="0" xfId="0" applyFont="1" applyFill="1" applyAlignment="1">
      <alignment wrapText="1"/>
    </xf>
    <xf numFmtId="0" fontId="5" fillId="2" borderId="0" xfId="0" applyFont="1" applyFill="1" applyAlignment="1">
      <alignment vertical="center" wrapText="1"/>
    </xf>
    <xf numFmtId="0" fontId="5" fillId="2" borderId="0" xfId="0" applyFont="1" applyFill="1" applyAlignment="1">
      <alignment horizontal="left" vertical="center" wrapText="1"/>
    </xf>
    <xf numFmtId="0" fontId="26" fillId="2" borderId="0" xfId="0" applyFont="1" applyFill="1" applyAlignment="1">
      <alignment vertical="top"/>
    </xf>
    <xf numFmtId="0" fontId="26" fillId="2" borderId="0" xfId="0" applyFont="1" applyFill="1"/>
    <xf numFmtId="0" fontId="20" fillId="3" borderId="0" xfId="0" applyFont="1" applyFill="1" applyAlignment="1">
      <alignment horizontal="center"/>
    </xf>
    <xf numFmtId="0" fontId="27" fillId="3" borderId="0" xfId="0" applyFont="1" applyFill="1" applyAlignment="1">
      <alignment horizontal="center" vertical="top"/>
    </xf>
    <xf numFmtId="0" fontId="27" fillId="3" borderId="0" xfId="0" applyFont="1" applyFill="1" applyAlignment="1">
      <alignment vertical="top"/>
    </xf>
    <xf numFmtId="0" fontId="3" fillId="3" borderId="0" xfId="0" applyFont="1" applyFill="1" applyAlignment="1">
      <alignment vertical="top"/>
    </xf>
    <xf numFmtId="0" fontId="2" fillId="3" borderId="0" xfId="0" applyFont="1" applyFill="1"/>
    <xf numFmtId="0" fontId="3" fillId="3" borderId="0" xfId="0" applyFont="1" applyFill="1" applyAlignment="1">
      <alignment horizontal="center" vertical="top"/>
    </xf>
    <xf numFmtId="164" fontId="3" fillId="3" borderId="0" xfId="0" applyNumberFormat="1" applyFont="1" applyFill="1" applyAlignment="1">
      <alignment vertical="top"/>
    </xf>
    <xf numFmtId="0" fontId="3" fillId="3" borderId="0" xfId="0" applyFont="1" applyFill="1" applyAlignment="1">
      <alignment horizontal="justify" vertical="top"/>
    </xf>
    <xf numFmtId="0" fontId="2" fillId="3" borderId="0" xfId="0" applyFont="1" applyFill="1" applyAlignment="1">
      <alignment vertical="top"/>
    </xf>
    <xf numFmtId="0" fontId="27" fillId="3" borderId="0" xfId="0" applyFont="1" applyFill="1" applyAlignment="1">
      <alignment horizontal="center"/>
    </xf>
    <xf numFmtId="0" fontId="27" fillId="3" borderId="0" xfId="0" applyFont="1" applyFill="1"/>
    <xf numFmtId="164" fontId="28" fillId="3" borderId="0" xfId="0" applyNumberFormat="1" applyFont="1" applyFill="1" applyAlignment="1">
      <alignment horizontal="center" vertical="top"/>
    </xf>
    <xf numFmtId="0" fontId="29" fillId="3" borderId="0" xfId="0" applyFont="1" applyFill="1" applyAlignment="1">
      <alignment vertical="top"/>
    </xf>
    <xf numFmtId="0" fontId="3" fillId="3" borderId="0" xfId="0" applyFont="1" applyFill="1" applyAlignment="1">
      <alignment horizontal="left"/>
    </xf>
    <xf numFmtId="0" fontId="3" fillId="3" borderId="0" xfId="0" applyFont="1" applyFill="1" applyAlignment="1">
      <alignment vertical="top" wrapText="1"/>
    </xf>
    <xf numFmtId="0" fontId="3" fillId="2" borderId="0" xfId="0" applyFont="1" applyFill="1" applyAlignment="1">
      <alignment wrapText="1"/>
    </xf>
    <xf numFmtId="0" fontId="3" fillId="2" borderId="0" xfId="0" applyFont="1" applyFill="1" applyAlignment="1">
      <alignment horizontal="left" wrapText="1"/>
    </xf>
    <xf numFmtId="0" fontId="3" fillId="2" borderId="0" xfId="0" applyFont="1" applyFill="1" applyAlignment="1">
      <alignment horizontal="left"/>
    </xf>
    <xf numFmtId="0" fontId="30" fillId="2" borderId="0" xfId="0" applyFont="1" applyFill="1" applyAlignment="1">
      <alignment wrapText="1"/>
    </xf>
    <xf numFmtId="0" fontId="30" fillId="2" borderId="0" xfId="0" applyFont="1" applyFill="1"/>
    <xf numFmtId="0" fontId="31" fillId="2" borderId="0" xfId="0" applyFont="1" applyFill="1"/>
    <xf numFmtId="0" fontId="31" fillId="2" borderId="0" xfId="0" applyFont="1" applyFill="1" applyAlignment="1">
      <alignment wrapText="1"/>
    </xf>
    <xf numFmtId="0" fontId="32" fillId="2" borderId="0" xfId="0" applyFont="1" applyFill="1" applyAlignment="1">
      <alignment wrapText="1"/>
    </xf>
    <xf numFmtId="0" fontId="32" fillId="2" borderId="0" xfId="0" applyFont="1" applyFill="1" applyAlignment="1">
      <alignment vertical="top" wrapText="1"/>
    </xf>
    <xf numFmtId="0" fontId="23" fillId="2" borderId="0" xfId="0" applyFont="1" applyFill="1" applyAlignment="1">
      <alignment vertical="top" wrapText="1"/>
    </xf>
    <xf numFmtId="0" fontId="4" fillId="3" borderId="0" xfId="0" applyFont="1" applyFill="1" applyProtection="1">
      <protection locked="0"/>
    </xf>
    <xf numFmtId="0" fontId="3" fillId="3" borderId="0" xfId="0" applyFont="1" applyFill="1" applyAlignment="1" applyProtection="1">
      <alignment horizontal="justify" vertical="top"/>
      <protection locked="0"/>
    </xf>
    <xf numFmtId="0" fontId="3" fillId="3" borderId="0" xfId="0" applyFont="1" applyFill="1" applyProtection="1">
      <protection locked="0"/>
    </xf>
    <xf numFmtId="0" fontId="3" fillId="3" borderId="0" xfId="0" applyFont="1" applyFill="1" applyAlignment="1" applyProtection="1">
      <alignment vertical="top"/>
      <protection locked="0"/>
    </xf>
    <xf numFmtId="0" fontId="27" fillId="3" borderId="0" xfId="0" applyFont="1" applyFill="1" applyProtection="1">
      <protection locked="0"/>
    </xf>
    <xf numFmtId="0" fontId="3" fillId="3" borderId="0" xfId="0" applyFont="1" applyFill="1" applyAlignment="1" applyProtection="1">
      <alignment horizontal="center" vertical="top"/>
      <protection locked="0"/>
    </xf>
    <xf numFmtId="0" fontId="27" fillId="3" borderId="0" xfId="0" applyFont="1" applyFill="1" applyAlignment="1" applyProtection="1">
      <alignment horizontal="center"/>
      <protection locked="0"/>
    </xf>
    <xf numFmtId="0" fontId="27" fillId="3" borderId="0" xfId="0" applyFont="1" applyFill="1" applyAlignment="1" applyProtection="1">
      <alignment horizontal="right"/>
      <protection locked="0"/>
    </xf>
    <xf numFmtId="0" fontId="33" fillId="3" borderId="0" xfId="0" applyFont="1" applyFill="1" applyAlignment="1" applyProtection="1">
      <alignment horizontal="center"/>
      <protection locked="0"/>
    </xf>
    <xf numFmtId="0" fontId="3" fillId="3" borderId="0" xfId="0" applyFont="1" applyFill="1" applyAlignment="1" applyProtection="1">
      <alignment horizontal="center"/>
      <protection locked="0"/>
    </xf>
    <xf numFmtId="0" fontId="33" fillId="3" borderId="0" xfId="0" applyFont="1" applyFill="1" applyAlignment="1" applyProtection="1">
      <alignment horizontal="right"/>
      <protection locked="0"/>
    </xf>
    <xf numFmtId="0" fontId="27" fillId="3" borderId="0" xfId="0" applyFont="1" applyFill="1" applyAlignment="1" applyProtection="1">
      <alignment vertical="top"/>
      <protection locked="0"/>
    </xf>
    <xf numFmtId="0" fontId="4" fillId="3" borderId="0" xfId="0" applyFont="1" applyFill="1" applyAlignment="1" applyProtection="1">
      <alignment vertical="top"/>
      <protection locked="0"/>
    </xf>
    <xf numFmtId="0" fontId="3" fillId="3" borderId="6" xfId="0" applyFont="1" applyFill="1" applyBorder="1" applyAlignment="1" applyProtection="1">
      <alignment horizontal="center" vertical="top"/>
      <protection locked="0"/>
    </xf>
    <xf numFmtId="0" fontId="3" fillId="3" borderId="7" xfId="0" applyFont="1" applyFill="1" applyBorder="1" applyAlignment="1" applyProtection="1">
      <alignment vertical="top"/>
      <protection locked="0"/>
    </xf>
    <xf numFmtId="0" fontId="3" fillId="3" borderId="8" xfId="0" applyFont="1" applyFill="1" applyBorder="1" applyAlignment="1" applyProtection="1">
      <alignment vertical="top"/>
      <protection locked="0"/>
    </xf>
    <xf numFmtId="0" fontId="3" fillId="3" borderId="9" xfId="0" applyFont="1" applyFill="1" applyBorder="1" applyAlignment="1" applyProtection="1">
      <alignment horizontal="center" vertical="top"/>
      <protection locked="0"/>
    </xf>
    <xf numFmtId="0" fontId="3" fillId="3" borderId="10" xfId="0" applyFont="1" applyFill="1" applyBorder="1" applyAlignment="1" applyProtection="1">
      <alignment horizontal="center" vertical="top"/>
      <protection locked="0"/>
    </xf>
    <xf numFmtId="0" fontId="3" fillId="3" borderId="1" xfId="0" applyFont="1" applyFill="1" applyBorder="1" applyAlignment="1" applyProtection="1">
      <alignment vertical="top"/>
      <protection locked="0"/>
    </xf>
    <xf numFmtId="0" fontId="3" fillId="3" borderId="11" xfId="0" applyFont="1" applyFill="1" applyBorder="1" applyAlignment="1" applyProtection="1">
      <alignment horizontal="center" vertical="top"/>
      <protection locked="0"/>
    </xf>
    <xf numFmtId="0" fontId="3" fillId="3" borderId="12" xfId="0" applyFont="1" applyFill="1" applyBorder="1" applyAlignment="1" applyProtection="1">
      <alignment horizontal="center" vertical="top"/>
      <protection locked="0"/>
    </xf>
    <xf numFmtId="0" fontId="3" fillId="3" borderId="13" xfId="0" applyFont="1" applyFill="1" applyBorder="1" applyAlignment="1" applyProtection="1">
      <alignment vertical="top"/>
      <protection locked="0"/>
    </xf>
    <xf numFmtId="0" fontId="3" fillId="3" borderId="14" xfId="0" applyFont="1" applyFill="1" applyBorder="1" applyAlignment="1" applyProtection="1">
      <alignment horizontal="center" vertical="top"/>
      <protection locked="0"/>
    </xf>
    <xf numFmtId="0" fontId="3" fillId="3" borderId="15" xfId="0" applyFont="1" applyFill="1" applyBorder="1" applyAlignment="1" applyProtection="1">
      <alignment horizontal="center" vertical="top"/>
      <protection locked="0"/>
    </xf>
    <xf numFmtId="0" fontId="3" fillId="3" borderId="16" xfId="0" applyFont="1" applyFill="1" applyBorder="1" applyAlignment="1" applyProtection="1">
      <alignment vertical="top"/>
      <protection locked="0"/>
    </xf>
    <xf numFmtId="0" fontId="3" fillId="3" borderId="17" xfId="0" applyFont="1" applyFill="1" applyBorder="1" applyAlignment="1" applyProtection="1">
      <alignment horizontal="center" vertical="top"/>
      <protection locked="0"/>
    </xf>
    <xf numFmtId="0" fontId="33" fillId="2" borderId="15" xfId="0" applyFont="1" applyFill="1" applyBorder="1" applyAlignment="1" applyProtection="1">
      <alignment horizontal="right" vertical="center"/>
      <protection locked="0"/>
    </xf>
    <xf numFmtId="0" fontId="33" fillId="2" borderId="17" xfId="0" applyFont="1" applyFill="1" applyBorder="1" applyAlignment="1" applyProtection="1">
      <alignment vertical="center"/>
      <protection locked="0"/>
    </xf>
    <xf numFmtId="0" fontId="19" fillId="3" borderId="0" xfId="0" applyFont="1" applyFill="1" applyAlignment="1" applyProtection="1">
      <alignment horizontal="center"/>
      <protection locked="0"/>
    </xf>
    <xf numFmtId="0" fontId="19" fillId="3" borderId="0" xfId="0" applyFont="1" applyFill="1" applyProtection="1">
      <protection locked="0"/>
    </xf>
    <xf numFmtId="0" fontId="19" fillId="3" borderId="0" xfId="0" applyFont="1" applyFill="1" applyAlignment="1" applyProtection="1">
      <alignment vertical="top"/>
      <protection locked="0"/>
    </xf>
    <xf numFmtId="0" fontId="19" fillId="3" borderId="0" xfId="0" applyFont="1" applyFill="1" applyAlignment="1" applyProtection="1">
      <alignment horizontal="center" vertical="top"/>
      <protection locked="0"/>
    </xf>
    <xf numFmtId="49" fontId="4" fillId="3" borderId="0" xfId="0" applyNumberFormat="1" applyFont="1" applyFill="1" applyAlignment="1" applyProtection="1">
      <alignment horizontal="center"/>
      <protection locked="0"/>
    </xf>
    <xf numFmtId="0" fontId="4" fillId="3" borderId="0" xfId="0" applyFont="1" applyFill="1" applyProtection="1">
      <protection locked="0"/>
    </xf>
    <xf numFmtId="0" fontId="4" fillId="3" borderId="0" xfId="0" applyFont="1" applyFill="1" applyAlignment="1" applyProtection="1">
      <alignment horizontal="center"/>
      <protection locked="0"/>
    </xf>
    <xf numFmtId="164" fontId="4" fillId="3" borderId="0" xfId="0" applyNumberFormat="1" applyFont="1" applyFill="1" applyProtection="1">
      <protection locked="0"/>
    </xf>
    <xf numFmtId="49" fontId="4" fillId="3" borderId="0" xfId="0" applyNumberFormat="1" applyFont="1" applyFill="1" applyAlignment="1" applyProtection="1">
      <alignment horizontal="center" vertical="top"/>
      <protection locked="0"/>
    </xf>
    <xf numFmtId="0" fontId="19" fillId="3" borderId="0" xfId="0" applyFont="1" applyFill="1" applyAlignment="1" applyProtection="1">
      <alignment horizontal="center" vertical="top"/>
      <protection locked="0"/>
    </xf>
    <xf numFmtId="49" fontId="33" fillId="14" borderId="18" xfId="0" applyNumberFormat="1" applyFont="1" applyFill="1" applyBorder="1" applyAlignment="1" applyProtection="1">
      <alignment horizontal="center" vertical="center" wrapText="1"/>
      <protection locked="0"/>
    </xf>
    <xf numFmtId="0" fontId="33" fillId="14" borderId="19" xfId="0" applyFont="1" applyFill="1" applyBorder="1" applyAlignment="1" applyProtection="1">
      <alignment horizontal="center" vertical="center" wrapText="1"/>
      <protection locked="0"/>
    </xf>
    <xf numFmtId="164" fontId="33" fillId="14" borderId="19" xfId="0" applyNumberFormat="1" applyFont="1" applyFill="1" applyBorder="1" applyAlignment="1" applyProtection="1">
      <alignment horizontal="center" vertical="center" wrapText="1"/>
      <protection locked="0"/>
    </xf>
    <xf numFmtId="0" fontId="33" fillId="14" borderId="20" xfId="0" applyFont="1" applyFill="1" applyBorder="1" applyAlignment="1" applyProtection="1">
      <alignment horizontal="center" vertical="center" wrapText="1"/>
      <protection locked="0"/>
    </xf>
    <xf numFmtId="49" fontId="33" fillId="14" borderId="18" xfId="0" applyNumberFormat="1" applyFont="1" applyFill="1" applyBorder="1" applyAlignment="1" applyProtection="1">
      <alignment horizontal="center"/>
      <protection locked="0"/>
    </xf>
    <xf numFmtId="0" fontId="33" fillId="14" borderId="19" xfId="0" applyFont="1" applyFill="1" applyBorder="1" applyAlignment="1" applyProtection="1">
      <alignment horizontal="center"/>
      <protection locked="0"/>
    </xf>
    <xf numFmtId="164" fontId="33" fillId="14" borderId="19" xfId="0" applyNumberFormat="1" applyFont="1" applyFill="1" applyBorder="1" applyAlignment="1" applyProtection="1">
      <alignment horizontal="center"/>
      <protection locked="0"/>
    </xf>
    <xf numFmtId="0" fontId="33" fillId="14" borderId="20" xfId="0" applyFont="1" applyFill="1" applyBorder="1" applyAlignment="1" applyProtection="1">
      <alignment horizontal="center"/>
      <protection locked="0"/>
    </xf>
    <xf numFmtId="49" fontId="19" fillId="2" borderId="21" xfId="0" applyNumberFormat="1" applyFont="1" applyFill="1" applyBorder="1" applyAlignment="1" applyProtection="1">
      <alignment horizontal="center" vertical="top" wrapText="1"/>
      <protection locked="0"/>
    </xf>
    <xf numFmtId="0" fontId="19" fillId="2" borderId="22" xfId="0" applyFont="1" applyFill="1" applyBorder="1" applyAlignment="1" applyProtection="1">
      <alignment horizontal="justify" vertical="top"/>
      <protection locked="0"/>
    </xf>
    <xf numFmtId="0" fontId="19" fillId="2" borderId="23" xfId="0" applyFont="1" applyFill="1" applyBorder="1" applyAlignment="1" applyProtection="1">
      <alignment horizontal="justify" vertical="top"/>
      <protection locked="0"/>
    </xf>
    <xf numFmtId="49" fontId="19" fillId="2" borderId="24" xfId="0" applyNumberFormat="1" applyFont="1" applyFill="1" applyBorder="1" applyAlignment="1" applyProtection="1">
      <alignment horizontal="center" vertical="top" wrapText="1"/>
      <protection locked="0"/>
    </xf>
    <xf numFmtId="0" fontId="19" fillId="2" borderId="3" xfId="0" applyFont="1" applyFill="1" applyBorder="1" applyAlignment="1" applyProtection="1">
      <alignment horizontal="justify" vertical="top"/>
      <protection locked="0"/>
    </xf>
    <xf numFmtId="0" fontId="19" fillId="2" borderId="25" xfId="0" applyFont="1" applyFill="1" applyBorder="1" applyAlignment="1" applyProtection="1">
      <alignment horizontal="justify" vertical="top"/>
      <protection locked="0"/>
    </xf>
    <xf numFmtId="49" fontId="33" fillId="14" borderId="19" xfId="0" applyNumberFormat="1" applyFont="1" applyFill="1" applyBorder="1" applyAlignment="1" applyProtection="1">
      <alignment horizontal="center"/>
      <protection locked="0"/>
    </xf>
    <xf numFmtId="0" fontId="4" fillId="14" borderId="20" xfId="0" applyFont="1" applyFill="1" applyBorder="1" applyProtection="1">
      <protection locked="0"/>
    </xf>
    <xf numFmtId="49" fontId="33" fillId="14" borderId="26" xfId="0" applyNumberFormat="1" applyFont="1" applyFill="1" applyBorder="1" applyProtection="1">
      <protection locked="0"/>
    </xf>
    <xf numFmtId="164" fontId="33" fillId="14" borderId="27" xfId="0" applyNumberFormat="1" applyFont="1" applyFill="1" applyBorder="1" applyAlignment="1" applyProtection="1">
      <alignment horizontal="center"/>
      <protection locked="0"/>
    </xf>
    <xf numFmtId="4" fontId="4" fillId="3" borderId="0" xfId="0" applyNumberFormat="1" applyFont="1" applyFill="1" applyProtection="1">
      <protection locked="0"/>
    </xf>
    <xf numFmtId="49" fontId="1" fillId="2" borderId="0" xfId="0" applyNumberFormat="1" applyFont="1" applyFill="1" applyAlignment="1" applyProtection="1">
      <alignment horizontal="center"/>
      <protection locked="0"/>
    </xf>
    <xf numFmtId="0" fontId="1" fillId="2" borderId="0" xfId="0" applyFont="1" applyFill="1" applyProtection="1">
      <protection locked="0"/>
    </xf>
    <xf numFmtId="0" fontId="1" fillId="2" borderId="0" xfId="0" applyFont="1" applyFill="1" applyAlignment="1" applyProtection="1">
      <alignment horizontal="center"/>
      <protection locked="0"/>
    </xf>
    <xf numFmtId="164" fontId="1" fillId="2" borderId="0" xfId="0" applyNumberFormat="1" applyFont="1" applyFill="1" applyProtection="1">
      <protection locked="0"/>
    </xf>
    <xf numFmtId="0" fontId="33" fillId="3" borderId="0" xfId="0" applyFont="1" applyFill="1" applyAlignment="1" applyProtection="1">
      <alignment horizontal="center"/>
      <protection locked="0"/>
    </xf>
    <xf numFmtId="0" fontId="33" fillId="3" borderId="0" xfId="0" applyFont="1" applyFill="1" applyAlignment="1" applyProtection="1">
      <alignment horizontal="center" vertical="top"/>
      <protection locked="0"/>
    </xf>
    <xf numFmtId="0" fontId="33" fillId="3" borderId="0" xfId="0" applyFont="1" applyFill="1" applyAlignment="1" applyProtection="1">
      <alignment vertical="top"/>
      <protection locked="0"/>
    </xf>
    <xf numFmtId="0" fontId="4" fillId="3" borderId="0" xfId="0" applyFont="1" applyFill="1" applyAlignment="1" applyProtection="1">
      <alignment vertical="top"/>
      <protection locked="0"/>
    </xf>
    <xf numFmtId="0" fontId="4" fillId="3" borderId="0" xfId="0" applyFont="1" applyFill="1" applyAlignment="1" applyProtection="1">
      <alignment horizontal="justify" vertical="top"/>
      <protection locked="0"/>
    </xf>
    <xf numFmtId="0" fontId="4" fillId="3" borderId="0" xfId="0" applyFont="1" applyFill="1" applyAlignment="1" applyProtection="1">
      <alignment horizontal="center" vertical="top"/>
      <protection locked="0"/>
    </xf>
    <xf numFmtId="0" fontId="4" fillId="3" borderId="0" xfId="0" applyFont="1" applyFill="1" applyAlignment="1" applyProtection="1">
      <alignment horizontal="center" vertical="center" wrapText="1"/>
      <protection locked="0"/>
    </xf>
    <xf numFmtId="0" fontId="4" fillId="3" borderId="28" xfId="0" applyFont="1" applyFill="1" applyBorder="1" applyProtection="1">
      <protection locked="0"/>
    </xf>
    <xf numFmtId="0" fontId="4" fillId="3" borderId="28" xfId="0" applyFont="1" applyFill="1" applyBorder="1" applyAlignment="1" applyProtection="1">
      <alignment horizontal="center" vertical="center" wrapText="1"/>
      <protection locked="0"/>
    </xf>
    <xf numFmtId="0" fontId="33" fillId="3" borderId="0" xfId="0" applyFont="1" applyFill="1" applyProtection="1">
      <protection locked="0"/>
    </xf>
    <xf numFmtId="0" fontId="33" fillId="2" borderId="0" xfId="0" applyFont="1" applyFill="1" applyAlignment="1" applyProtection="1">
      <alignment horizontal="center"/>
      <protection locked="0"/>
    </xf>
    <xf numFmtId="0" fontId="33" fillId="12" borderId="3" xfId="0" applyFont="1" applyFill="1" applyBorder="1" applyAlignment="1" applyProtection="1">
      <alignment horizontal="center"/>
      <protection locked="0"/>
    </xf>
    <xf numFmtId="0" fontId="4" fillId="3" borderId="5" xfId="0" applyFont="1" applyFill="1" applyBorder="1" applyAlignment="1" applyProtection="1">
      <alignment horizontal="center" vertical="top"/>
      <protection locked="0"/>
    </xf>
    <xf numFmtId="0" fontId="4" fillId="2" borderId="3" xfId="0" applyFont="1" applyFill="1" applyBorder="1" applyAlignment="1" applyProtection="1">
      <alignment horizontal="center" vertical="top"/>
      <protection locked="0"/>
    </xf>
    <xf numFmtId="0" fontId="33" fillId="12" borderId="3" xfId="0"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top"/>
      <protection locked="0"/>
    </xf>
    <xf numFmtId="0" fontId="4" fillId="2" borderId="5" xfId="0" applyFont="1" applyFill="1" applyBorder="1" applyAlignment="1" applyProtection="1">
      <alignment horizontal="center" vertical="top"/>
      <protection locked="0"/>
    </xf>
    <xf numFmtId="0" fontId="33" fillId="12" borderId="3" xfId="0" applyFont="1" applyFill="1" applyBorder="1" applyAlignment="1" applyProtection="1">
      <alignment horizontal="center" vertical="top"/>
      <protection locked="0"/>
    </xf>
    <xf numFmtId="0" fontId="4" fillId="2" borderId="0" xfId="0" applyFont="1" applyFill="1" applyProtection="1">
      <protection locked="0"/>
    </xf>
    <xf numFmtId="0" fontId="4" fillId="2" borderId="0" xfId="0" applyFont="1" applyFill="1" applyProtection="1">
      <protection locked="0"/>
    </xf>
    <xf numFmtId="0" fontId="27" fillId="15" borderId="3" xfId="0" applyFont="1" applyFill="1" applyBorder="1" applyAlignment="1">
      <alignment horizontal="center"/>
    </xf>
    <xf numFmtId="0" fontId="28" fillId="15" borderId="3" xfId="0" applyFont="1" applyFill="1" applyBorder="1" applyAlignment="1">
      <alignment horizontal="center" vertical="center" wrapText="1"/>
    </xf>
    <xf numFmtId="164" fontId="19" fillId="2" borderId="22" xfId="0" applyNumberFormat="1" applyFont="1" applyFill="1" applyBorder="1" applyAlignment="1" applyProtection="1">
      <alignment horizontal="right" vertical="top"/>
      <protection locked="0"/>
    </xf>
    <xf numFmtId="167" fontId="19" fillId="2" borderId="29" xfId="0" applyNumberFormat="1" applyFont="1" applyFill="1" applyBorder="1" applyAlignment="1" applyProtection="1">
      <alignment horizontal="right" vertical="top"/>
      <protection locked="0"/>
    </xf>
    <xf numFmtId="168" fontId="19" fillId="2" borderId="22" xfId="0" applyNumberFormat="1" applyFont="1" applyFill="1" applyBorder="1" applyAlignment="1" applyProtection="1">
      <alignment horizontal="right" vertical="top"/>
      <protection locked="0"/>
    </xf>
    <xf numFmtId="164" fontId="19" fillId="2" borderId="3" xfId="0" applyNumberFormat="1" applyFont="1" applyFill="1" applyBorder="1" applyAlignment="1" applyProtection="1">
      <alignment horizontal="right" vertical="top"/>
      <protection locked="0"/>
    </xf>
    <xf numFmtId="167" fontId="19" fillId="2" borderId="3" xfId="0" applyNumberFormat="1" applyFont="1" applyFill="1" applyBorder="1" applyAlignment="1" applyProtection="1">
      <alignment horizontal="right" vertical="top"/>
      <protection locked="0"/>
    </xf>
    <xf numFmtId="168" fontId="19" fillId="2" borderId="3" xfId="0" applyNumberFormat="1" applyFont="1" applyFill="1" applyBorder="1" applyAlignment="1" applyProtection="1">
      <alignment horizontal="right" vertical="top"/>
      <protection locked="0"/>
    </xf>
    <xf numFmtId="168" fontId="33" fillId="14" borderId="30" xfId="0" applyNumberFormat="1" applyFont="1" applyFill="1" applyBorder="1" applyAlignment="1" applyProtection="1">
      <alignment horizontal="right"/>
      <protection locked="0"/>
    </xf>
    <xf numFmtId="3" fontId="33" fillId="14" borderId="27" xfId="0" applyNumberFormat="1" applyFont="1" applyFill="1" applyBorder="1" applyAlignment="1" applyProtection="1">
      <alignment horizontal="right"/>
      <protection locked="0"/>
    </xf>
    <xf numFmtId="169" fontId="33" fillId="3" borderId="0" xfId="0" applyNumberFormat="1" applyFont="1" applyFill="1" applyAlignment="1" applyProtection="1">
      <alignment horizontal="right"/>
      <protection locked="0"/>
    </xf>
    <xf numFmtId="0" fontId="27" fillId="2" borderId="1" xfId="0" applyFont="1" applyFill="1" applyBorder="1" applyAlignment="1">
      <alignment horizontal="right" vertical="top"/>
    </xf>
    <xf numFmtId="0" fontId="27" fillId="2" borderId="2" xfId="0" applyFont="1" applyFill="1" applyBorder="1" applyAlignment="1">
      <alignment horizontal="right" vertical="top"/>
    </xf>
    <xf numFmtId="0" fontId="34" fillId="9" borderId="8" xfId="0" applyFont="1" applyFill="1" applyBorder="1" applyAlignment="1">
      <alignment horizontal="center"/>
    </xf>
    <xf numFmtId="0" fontId="4" fillId="3" borderId="0" xfId="0" applyFont="1" applyFill="1" applyAlignment="1" applyProtection="1">
      <alignment horizontal="justify" vertical="top"/>
      <protection locked="0"/>
    </xf>
    <xf numFmtId="0" fontId="33" fillId="3" borderId="32" xfId="0" applyFont="1" applyFill="1" applyBorder="1" applyAlignment="1">
      <alignment horizontal="center"/>
    </xf>
    <xf numFmtId="0" fontId="4" fillId="3" borderId="33" xfId="0" applyFont="1" applyFill="1" applyBorder="1" applyAlignment="1" applyProtection="1">
      <alignment horizontal="center" vertical="center" wrapText="1"/>
      <protection locked="0"/>
    </xf>
    <xf numFmtId="0" fontId="4" fillId="3" borderId="31" xfId="0" applyFont="1" applyFill="1" applyBorder="1" applyAlignment="1" applyProtection="1">
      <alignment horizontal="center" vertical="center" wrapText="1"/>
      <protection locked="0"/>
    </xf>
    <xf numFmtId="0" fontId="4" fillId="3" borderId="34" xfId="0" applyFont="1" applyFill="1" applyBorder="1" applyAlignment="1" applyProtection="1">
      <alignment horizontal="center" vertical="center" wrapText="1"/>
      <protection locked="0"/>
    </xf>
    <xf numFmtId="0" fontId="4" fillId="3" borderId="35" xfId="0" applyFont="1" applyFill="1" applyBorder="1" applyAlignment="1" applyProtection="1">
      <alignment horizontal="center" vertical="center" wrapText="1"/>
      <protection locked="0"/>
    </xf>
    <xf numFmtId="0" fontId="4" fillId="3" borderId="0" xfId="0" applyFont="1" applyFill="1" applyAlignment="1" applyProtection="1">
      <alignment horizontal="center" vertical="center" wrapText="1"/>
      <protection locked="0"/>
    </xf>
    <xf numFmtId="0" fontId="4" fillId="3" borderId="36" xfId="0" applyFont="1" applyFill="1" applyBorder="1" applyAlignment="1" applyProtection="1">
      <alignment horizontal="center" vertical="center" wrapText="1"/>
      <protection locked="0"/>
    </xf>
    <xf numFmtId="0" fontId="4" fillId="3" borderId="37" xfId="0" applyFont="1" applyFill="1" applyBorder="1" applyAlignment="1" applyProtection="1">
      <alignment horizontal="center" vertical="center" wrapText="1"/>
      <protection locked="0"/>
    </xf>
    <xf numFmtId="0" fontId="4" fillId="3" borderId="38" xfId="0" applyFont="1" applyFill="1" applyBorder="1" applyAlignment="1" applyProtection="1">
      <alignment horizontal="center" vertical="center" wrapText="1"/>
      <protection locked="0"/>
    </xf>
    <xf numFmtId="0" fontId="4" fillId="3" borderId="39" xfId="0" applyFont="1" applyFill="1" applyBorder="1" applyAlignment="1" applyProtection="1">
      <alignment horizontal="center" vertical="center" wrapText="1"/>
      <protection locked="0"/>
    </xf>
    <xf numFmtId="0" fontId="33" fillId="16" borderId="33" xfId="0" applyFont="1" applyFill="1" applyBorder="1" applyAlignment="1" applyProtection="1">
      <alignment horizontal="center" vertical="center" wrapText="1"/>
      <protection locked="0"/>
    </xf>
    <xf numFmtId="0" fontId="33" fillId="16" borderId="31" xfId="0" applyFont="1" applyFill="1" applyBorder="1" applyAlignment="1" applyProtection="1">
      <alignment horizontal="center" vertical="center" wrapText="1"/>
      <protection locked="0"/>
    </xf>
    <xf numFmtId="0" fontId="33" fillId="16" borderId="34" xfId="0" applyFont="1" applyFill="1" applyBorder="1" applyAlignment="1" applyProtection="1">
      <alignment horizontal="center" vertical="center" wrapText="1"/>
      <protection locked="0"/>
    </xf>
    <xf numFmtId="0" fontId="33" fillId="16" borderId="35" xfId="0" applyFont="1" applyFill="1" applyBorder="1" applyAlignment="1" applyProtection="1">
      <alignment horizontal="center" vertical="center" wrapText="1"/>
      <protection locked="0"/>
    </xf>
    <xf numFmtId="0" fontId="33" fillId="16" borderId="0" xfId="0" applyFont="1" applyFill="1" applyAlignment="1" applyProtection="1">
      <alignment horizontal="center" vertical="center" wrapText="1"/>
      <protection locked="0"/>
    </xf>
    <xf numFmtId="0" fontId="33" fillId="16" borderId="36" xfId="0" applyFont="1" applyFill="1" applyBorder="1" applyAlignment="1" applyProtection="1">
      <alignment horizontal="center" vertical="center" wrapText="1"/>
      <protection locked="0"/>
    </xf>
    <xf numFmtId="0" fontId="33" fillId="16" borderId="37" xfId="0" applyFont="1" applyFill="1" applyBorder="1" applyAlignment="1" applyProtection="1">
      <alignment horizontal="center" vertical="center" wrapText="1"/>
      <protection locked="0"/>
    </xf>
    <xf numFmtId="0" fontId="33" fillId="16" borderId="38" xfId="0" applyFont="1" applyFill="1" applyBorder="1" applyAlignment="1" applyProtection="1">
      <alignment horizontal="center" vertical="center" wrapText="1"/>
      <protection locked="0"/>
    </xf>
    <xf numFmtId="0" fontId="33" fillId="16" borderId="39" xfId="0" applyFont="1" applyFill="1" applyBorder="1" applyAlignment="1" applyProtection="1">
      <alignment horizontal="center" vertical="center" wrapText="1"/>
      <protection locked="0"/>
    </xf>
    <xf numFmtId="0" fontId="33" fillId="3" borderId="0" xfId="0" applyFont="1" applyFill="1" applyAlignment="1" applyProtection="1">
      <alignment horizontal="justify" vertical="top" wrapText="1"/>
      <protection locked="0"/>
    </xf>
    <xf numFmtId="164" fontId="4" fillId="3" borderId="0" xfId="0" applyNumberFormat="1" applyFont="1" applyFill="1" applyAlignment="1" applyProtection="1">
      <alignment horizontal="left" vertical="top"/>
      <protection locked="0"/>
    </xf>
    <xf numFmtId="0" fontId="35" fillId="3" borderId="0" xfId="0" applyFont="1" applyFill="1" applyAlignment="1" applyProtection="1">
      <alignment horizontal="center"/>
      <protection locked="0"/>
    </xf>
    <xf numFmtId="0" fontId="4" fillId="3" borderId="0" xfId="0" applyFont="1" applyFill="1" applyAlignment="1" applyProtection="1">
      <alignment horizontal="left" vertical="top" wrapText="1"/>
      <protection locked="0"/>
    </xf>
    <xf numFmtId="0" fontId="4" fillId="2" borderId="3" xfId="0" applyFont="1" applyFill="1" applyBorder="1" applyAlignment="1" applyProtection="1">
      <alignment horizontal="left" vertical="top" wrapText="1"/>
      <protection locked="0"/>
    </xf>
    <xf numFmtId="0" fontId="33" fillId="12" borderId="3" xfId="0" applyFont="1" applyFill="1" applyBorder="1" applyAlignment="1" applyProtection="1">
      <alignment horizontal="center"/>
      <protection locked="0"/>
    </xf>
    <xf numFmtId="0" fontId="4" fillId="3" borderId="40" xfId="0" applyFont="1" applyFill="1" applyBorder="1" applyAlignment="1" applyProtection="1">
      <alignment horizontal="justify" vertical="top" wrapText="1"/>
      <protection locked="0"/>
    </xf>
    <xf numFmtId="0" fontId="4" fillId="3" borderId="13" xfId="0" applyFont="1" applyFill="1" applyBorder="1" applyAlignment="1" applyProtection="1">
      <alignment horizontal="justify" vertical="top" wrapText="1"/>
      <protection locked="0"/>
    </xf>
    <xf numFmtId="0" fontId="4" fillId="3" borderId="41" xfId="0" applyFont="1" applyFill="1" applyBorder="1" applyAlignment="1" applyProtection="1">
      <alignment horizontal="justify" vertical="top" wrapText="1"/>
      <protection locked="0"/>
    </xf>
    <xf numFmtId="0" fontId="4" fillId="3" borderId="3" xfId="0" applyFont="1" applyFill="1" applyBorder="1" applyAlignment="1" applyProtection="1">
      <alignment horizontal="justify" vertical="top"/>
      <protection locked="0"/>
    </xf>
    <xf numFmtId="164" fontId="4" fillId="2" borderId="3" xfId="0" applyNumberFormat="1" applyFont="1" applyFill="1" applyBorder="1" applyAlignment="1" applyProtection="1">
      <alignment horizontal="right" vertical="top"/>
      <protection locked="0"/>
    </xf>
    <xf numFmtId="0" fontId="4" fillId="2" borderId="3" xfId="0" applyFont="1" applyFill="1" applyBorder="1" applyAlignment="1" applyProtection="1">
      <alignment horizontal="right" vertical="top"/>
      <protection locked="0"/>
    </xf>
    <xf numFmtId="164" fontId="4" fillId="2" borderId="4" xfId="0" applyNumberFormat="1" applyFont="1" applyFill="1" applyBorder="1" applyAlignment="1" applyProtection="1">
      <alignment horizontal="right" vertical="top"/>
      <protection locked="0"/>
    </xf>
    <xf numFmtId="164" fontId="4" fillId="2" borderId="1" xfId="0" applyNumberFormat="1" applyFont="1" applyFill="1" applyBorder="1" applyAlignment="1" applyProtection="1">
      <alignment horizontal="right" vertical="top"/>
      <protection locked="0"/>
    </xf>
    <xf numFmtId="164" fontId="4" fillId="2" borderId="2" xfId="0" applyNumberFormat="1" applyFont="1" applyFill="1" applyBorder="1" applyAlignment="1" applyProtection="1">
      <alignment horizontal="right" vertical="top"/>
      <protection locked="0"/>
    </xf>
    <xf numFmtId="0" fontId="33" fillId="12" borderId="3" xfId="0" applyFont="1" applyFill="1" applyBorder="1" applyAlignment="1" applyProtection="1">
      <alignment horizontal="center" vertical="center"/>
      <protection locked="0"/>
    </xf>
    <xf numFmtId="0" fontId="33" fillId="12" borderId="3"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justify" vertical="top"/>
      <protection locked="0"/>
    </xf>
    <xf numFmtId="0" fontId="33" fillId="12" borderId="3" xfId="0" applyFont="1" applyFill="1" applyBorder="1" applyAlignment="1" applyProtection="1">
      <alignment horizontal="center" vertical="top"/>
      <protection locked="0"/>
    </xf>
    <xf numFmtId="0" fontId="4" fillId="2" borderId="3" xfId="0" applyFont="1" applyFill="1" applyBorder="1" applyAlignment="1" applyProtection="1">
      <alignment horizontal="left" vertical="top"/>
      <protection locked="0"/>
    </xf>
    <xf numFmtId="0" fontId="4" fillId="3" borderId="0" xfId="0" applyFont="1" applyFill="1" applyAlignment="1" applyProtection="1">
      <alignment horizontal="justify" vertical="top" wrapText="1"/>
      <protection locked="0"/>
    </xf>
    <xf numFmtId="0" fontId="25" fillId="3" borderId="0" xfId="0" applyFont="1" applyFill="1" applyAlignment="1" applyProtection="1">
      <alignment horizontal="justify" vertical="top"/>
      <protection locked="0"/>
    </xf>
    <xf numFmtId="0" fontId="4" fillId="3" borderId="0" xfId="0" applyFont="1" applyFill="1" applyAlignment="1" applyProtection="1">
      <alignment horizontal="left"/>
      <protection locked="0"/>
    </xf>
    <xf numFmtId="0" fontId="4" fillId="2" borderId="0" xfId="0" applyFont="1" applyFill="1" applyAlignment="1" applyProtection="1">
      <alignment horizontal="left"/>
      <protection locked="0"/>
    </xf>
    <xf numFmtId="0" fontId="33" fillId="14" borderId="19" xfId="0" applyFont="1" applyFill="1" applyBorder="1" applyAlignment="1" applyProtection="1">
      <alignment horizontal="center"/>
      <protection locked="0"/>
    </xf>
    <xf numFmtId="0" fontId="19" fillId="2" borderId="22" xfId="0" applyFont="1" applyFill="1" applyBorder="1" applyAlignment="1" applyProtection="1">
      <alignment horizontal="justify" vertical="top" wrapText="1"/>
      <protection locked="0"/>
    </xf>
    <xf numFmtId="0" fontId="33" fillId="14" borderId="19" xfId="0" applyFont="1" applyFill="1" applyBorder="1" applyAlignment="1" applyProtection="1">
      <alignment horizontal="center" vertical="center" wrapText="1"/>
      <protection locked="0"/>
    </xf>
    <xf numFmtId="0" fontId="33" fillId="3" borderId="31" xfId="0" applyFont="1" applyFill="1" applyBorder="1" applyAlignment="1" applyProtection="1">
      <alignment horizontal="center"/>
      <protection locked="0"/>
    </xf>
    <xf numFmtId="49" fontId="33" fillId="14" borderId="28" xfId="0" applyNumberFormat="1" applyFont="1" applyFill="1" applyBorder="1" applyAlignment="1" applyProtection="1">
      <alignment horizontal="right"/>
      <protection locked="0"/>
    </xf>
    <xf numFmtId="49" fontId="33" fillId="14" borderId="26" xfId="0" applyNumberFormat="1" applyFont="1" applyFill="1" applyBorder="1" applyAlignment="1" applyProtection="1">
      <alignment horizontal="right"/>
      <protection locked="0"/>
    </xf>
    <xf numFmtId="0" fontId="19" fillId="2" borderId="4" xfId="0" applyFont="1" applyFill="1" applyBorder="1" applyAlignment="1" applyProtection="1">
      <alignment horizontal="justify" vertical="top" wrapText="1"/>
      <protection locked="0"/>
    </xf>
    <xf numFmtId="0" fontId="19" fillId="2" borderId="1" xfId="0" applyFont="1" applyFill="1" applyBorder="1" applyAlignment="1" applyProtection="1">
      <alignment horizontal="justify" vertical="top" wrapText="1"/>
      <protection locked="0"/>
    </xf>
    <xf numFmtId="0" fontId="19" fillId="2" borderId="2" xfId="0" applyFont="1" applyFill="1" applyBorder="1" applyAlignment="1" applyProtection="1">
      <alignment horizontal="justify" vertical="top" wrapText="1"/>
      <protection locked="0"/>
    </xf>
    <xf numFmtId="49" fontId="7" fillId="3" borderId="0" xfId="0" applyNumberFormat="1" applyFont="1" applyFill="1" applyAlignment="1" applyProtection="1">
      <alignment horizontal="center"/>
      <protection locked="0"/>
    </xf>
    <xf numFmtId="0" fontId="19" fillId="3" borderId="0" xfId="0" applyFont="1" applyFill="1" applyAlignment="1" applyProtection="1">
      <alignment horizontal="left" vertical="top"/>
      <protection locked="0"/>
    </xf>
    <xf numFmtId="164" fontId="20" fillId="3" borderId="0" xfId="0" applyNumberFormat="1" applyFont="1" applyFill="1" applyAlignment="1" applyProtection="1">
      <alignment horizontal="justify" vertical="top" wrapText="1"/>
      <protection locked="0"/>
    </xf>
    <xf numFmtId="164" fontId="19" fillId="3" borderId="0" xfId="0" applyNumberFormat="1" applyFont="1" applyFill="1" applyAlignment="1" applyProtection="1">
      <alignment horizontal="justify" vertical="top" wrapText="1"/>
      <protection locked="0"/>
    </xf>
    <xf numFmtId="0" fontId="19" fillId="3" borderId="0" xfId="0" applyFont="1" applyFill="1" applyAlignment="1" applyProtection="1">
      <alignment horizontal="justify" vertical="top" wrapText="1"/>
      <protection locked="0"/>
    </xf>
    <xf numFmtId="0" fontId="33" fillId="2" borderId="16" xfId="0" applyFont="1" applyFill="1" applyBorder="1" applyAlignment="1" applyProtection="1">
      <alignment horizontal="center" vertical="center"/>
      <protection locked="0"/>
    </xf>
    <xf numFmtId="0" fontId="33" fillId="2" borderId="44" xfId="0" applyFont="1" applyFill="1" applyBorder="1" applyAlignment="1" applyProtection="1">
      <alignment horizontal="center" vertical="center"/>
      <protection locked="0"/>
    </xf>
    <xf numFmtId="0" fontId="33" fillId="2" borderId="8" xfId="0" applyFont="1" applyFill="1" applyBorder="1" applyAlignment="1" applyProtection="1">
      <alignment horizontal="center" vertical="center"/>
      <protection locked="0"/>
    </xf>
    <xf numFmtId="0" fontId="33" fillId="2" borderId="9" xfId="0" applyFont="1" applyFill="1" applyBorder="1" applyAlignment="1" applyProtection="1">
      <alignment horizontal="center" vertical="center"/>
      <protection locked="0"/>
    </xf>
    <xf numFmtId="0" fontId="3" fillId="3" borderId="10" xfId="0" applyFont="1" applyFill="1" applyBorder="1" applyAlignment="1" applyProtection="1">
      <alignment horizontal="center" vertical="top"/>
      <protection locked="0"/>
    </xf>
    <xf numFmtId="0" fontId="3" fillId="3" borderId="1" xfId="0" applyFont="1" applyFill="1" applyBorder="1" applyAlignment="1" applyProtection="1">
      <alignment horizontal="center" vertical="top"/>
      <protection locked="0"/>
    </xf>
    <xf numFmtId="0" fontId="3" fillId="3" borderId="15" xfId="0" applyFont="1" applyFill="1" applyBorder="1" applyAlignment="1" applyProtection="1">
      <alignment horizontal="center" vertical="top"/>
      <protection locked="0"/>
    </xf>
    <xf numFmtId="0" fontId="3" fillId="3" borderId="16" xfId="0" applyFont="1" applyFill="1" applyBorder="1" applyAlignment="1" applyProtection="1">
      <alignment horizontal="center" vertical="top"/>
      <protection locked="0"/>
    </xf>
    <xf numFmtId="0" fontId="3" fillId="3" borderId="1" xfId="0" applyFont="1" applyFill="1" applyBorder="1" applyAlignment="1" applyProtection="1">
      <alignment horizontal="justify" vertical="top" wrapText="1"/>
      <protection locked="0"/>
    </xf>
    <xf numFmtId="0" fontId="3" fillId="3" borderId="11" xfId="0" applyFont="1" applyFill="1" applyBorder="1" applyAlignment="1" applyProtection="1">
      <alignment horizontal="justify" vertical="top" wrapText="1"/>
      <protection locked="0"/>
    </xf>
    <xf numFmtId="0" fontId="3" fillId="3" borderId="16" xfId="0" applyFont="1" applyFill="1" applyBorder="1" applyAlignment="1" applyProtection="1">
      <alignment horizontal="justify" vertical="top" wrapText="1"/>
      <protection locked="0"/>
    </xf>
    <xf numFmtId="0" fontId="3" fillId="3" borderId="17" xfId="0" applyFont="1" applyFill="1" applyBorder="1" applyAlignment="1" applyProtection="1">
      <alignment horizontal="justify" vertical="top" wrapText="1"/>
      <protection locked="0"/>
    </xf>
    <xf numFmtId="0" fontId="3" fillId="3" borderId="42" xfId="0" applyFont="1" applyFill="1" applyBorder="1" applyAlignment="1" applyProtection="1">
      <alignment horizontal="center" vertical="top"/>
      <protection locked="0"/>
    </xf>
    <xf numFmtId="0" fontId="3" fillId="3" borderId="45" xfId="0" applyFont="1" applyFill="1" applyBorder="1" applyAlignment="1" applyProtection="1">
      <alignment horizontal="center" vertical="top"/>
      <protection locked="0"/>
    </xf>
    <xf numFmtId="0" fontId="33" fillId="2" borderId="42" xfId="0" applyFont="1" applyFill="1" applyBorder="1" applyAlignment="1" applyProtection="1">
      <alignment horizontal="center" vertical="center"/>
      <protection locked="0"/>
    </xf>
    <xf numFmtId="0" fontId="33" fillId="2" borderId="43" xfId="0" applyFont="1" applyFill="1" applyBorder="1" applyAlignment="1" applyProtection="1">
      <alignment horizontal="center" vertical="center"/>
      <protection locked="0"/>
    </xf>
    <xf numFmtId="0" fontId="3" fillId="3" borderId="0" xfId="0" applyFont="1" applyFill="1" applyAlignment="1" applyProtection="1">
      <alignment horizontal="left" vertical="top"/>
      <protection locked="0"/>
    </xf>
    <xf numFmtId="0" fontId="3" fillId="3" borderId="0" xfId="0" applyFont="1" applyFill="1" applyAlignment="1" applyProtection="1">
      <alignment horizontal="justify" vertical="top"/>
      <protection locked="0"/>
    </xf>
    <xf numFmtId="0" fontId="27" fillId="3" borderId="0" xfId="0" applyFont="1" applyFill="1" applyAlignment="1" applyProtection="1">
      <alignment horizontal="right"/>
      <protection locked="0"/>
    </xf>
    <xf numFmtId="0" fontId="3" fillId="3" borderId="44" xfId="0" applyFont="1" applyFill="1" applyBorder="1" applyAlignment="1" applyProtection="1">
      <alignment horizontal="center" vertical="top"/>
      <protection locked="0"/>
    </xf>
    <xf numFmtId="0" fontId="3" fillId="3" borderId="8" xfId="0" applyFont="1" applyFill="1" applyBorder="1" applyAlignment="1" applyProtection="1">
      <alignment horizontal="center" vertical="top"/>
      <protection locked="0"/>
    </xf>
    <xf numFmtId="0" fontId="27" fillId="3" borderId="0" xfId="0" applyFont="1" applyFill="1" applyAlignment="1" applyProtection="1">
      <alignment horizontal="justify" vertical="top"/>
      <protection locked="0"/>
    </xf>
    <xf numFmtId="0" fontId="33" fillId="17" borderId="46" xfId="0" applyFont="1" applyFill="1" applyBorder="1" applyAlignment="1" applyProtection="1">
      <alignment horizontal="center" vertical="center" wrapText="1"/>
      <protection locked="0"/>
    </xf>
    <xf numFmtId="0" fontId="3" fillId="3" borderId="0" xfId="0" applyFont="1" applyFill="1" applyAlignment="1" applyProtection="1">
      <alignment horizontal="justify" vertical="top" wrapText="1"/>
      <protection locked="0"/>
    </xf>
    <xf numFmtId="0" fontId="20" fillId="3" borderId="47" xfId="0" applyFont="1" applyFill="1" applyBorder="1" applyAlignment="1">
      <alignment horizontal="center"/>
    </xf>
    <xf numFmtId="0" fontId="20" fillId="3" borderId="0" xfId="0" applyFont="1" applyFill="1" applyAlignment="1" applyProtection="1">
      <alignment horizontal="center"/>
      <protection locked="0"/>
    </xf>
    <xf numFmtId="0" fontId="19" fillId="3" borderId="0" xfId="0" applyFont="1" applyFill="1" applyAlignment="1" applyProtection="1">
      <alignment horizontal="center"/>
      <protection locked="0"/>
    </xf>
    <xf numFmtId="0" fontId="3" fillId="3" borderId="31" xfId="0" applyFont="1" applyFill="1" applyBorder="1" applyAlignment="1" applyProtection="1">
      <alignment horizontal="justify" vertical="top" wrapText="1"/>
      <protection locked="0"/>
    </xf>
    <xf numFmtId="0" fontId="3" fillId="3" borderId="34" xfId="0" applyFont="1" applyFill="1" applyBorder="1" applyAlignment="1" applyProtection="1">
      <alignment horizontal="justify" vertical="top" wrapText="1"/>
      <protection locked="0"/>
    </xf>
    <xf numFmtId="0" fontId="3" fillId="3" borderId="43" xfId="0" applyFont="1" applyFill="1" applyBorder="1" applyAlignment="1" applyProtection="1">
      <alignment horizontal="center" vertical="top"/>
      <protection locked="0"/>
    </xf>
    <xf numFmtId="0" fontId="19" fillId="3" borderId="0" xfId="0" applyFont="1" applyFill="1" applyAlignment="1" applyProtection="1">
      <alignment horizontal="left"/>
      <protection locked="0"/>
    </xf>
    <xf numFmtId="0" fontId="19" fillId="3" borderId="0" xfId="0" quotePrefix="1" applyFont="1" applyFill="1" applyAlignment="1" applyProtection="1">
      <alignment horizontal="center"/>
      <protection locked="0"/>
    </xf>
    <xf numFmtId="0" fontId="27" fillId="2" borderId="48" xfId="0" applyFont="1" applyFill="1" applyBorder="1" applyAlignment="1" applyProtection="1">
      <alignment horizontal="center" vertical="center" textRotation="255"/>
      <protection locked="0"/>
    </xf>
    <xf numFmtId="0" fontId="27" fillId="2" borderId="49" xfId="0" applyFont="1" applyFill="1" applyBorder="1" applyAlignment="1" applyProtection="1">
      <alignment horizontal="center" vertical="center" textRotation="255"/>
      <protection locked="0"/>
    </xf>
    <xf numFmtId="0" fontId="36" fillId="3" borderId="0" xfId="0" quotePrefix="1" applyFont="1" applyFill="1" applyAlignment="1" applyProtection="1">
      <alignment horizontal="center"/>
      <protection locked="0"/>
    </xf>
    <xf numFmtId="0" fontId="36" fillId="3" borderId="0" xfId="0" applyFont="1" applyFill="1" applyAlignment="1" applyProtection="1">
      <alignment horizontal="center"/>
      <protection locked="0"/>
    </xf>
    <xf numFmtId="0" fontId="3" fillId="3" borderId="50" xfId="0" applyFont="1" applyFill="1" applyBorder="1" applyAlignment="1" applyProtection="1">
      <alignment horizontal="center" vertical="top"/>
      <protection locked="0"/>
    </xf>
    <xf numFmtId="0" fontId="3" fillId="3" borderId="0" xfId="0" applyFont="1" applyFill="1" applyAlignment="1" applyProtection="1">
      <alignment horizontal="left" vertical="top" wrapText="1"/>
      <protection locked="0"/>
    </xf>
    <xf numFmtId="0" fontId="3" fillId="3" borderId="0" xfId="0" applyFont="1" applyFill="1" applyAlignment="1">
      <alignment horizontal="justify" vertical="top"/>
    </xf>
    <xf numFmtId="164" fontId="3" fillId="2" borderId="3" xfId="0" applyNumberFormat="1" applyFont="1" applyFill="1" applyBorder="1" applyAlignment="1">
      <alignment horizontal="right" vertical="top"/>
    </xf>
    <xf numFmtId="0" fontId="3" fillId="2" borderId="3" xfId="0" applyFont="1" applyFill="1" applyBorder="1" applyAlignment="1">
      <alignment horizontal="right" vertical="top"/>
    </xf>
    <xf numFmtId="168" fontId="3" fillId="2" borderId="3" xfId="0" applyNumberFormat="1" applyFont="1" applyFill="1" applyBorder="1" applyAlignment="1">
      <alignment horizontal="right" vertical="top"/>
    </xf>
    <xf numFmtId="164" fontId="3" fillId="2" borderId="4" xfId="0" applyNumberFormat="1" applyFont="1" applyFill="1" applyBorder="1" applyAlignment="1">
      <alignment horizontal="right" vertical="top"/>
    </xf>
    <xf numFmtId="164" fontId="3" fillId="2" borderId="1" xfId="0" applyNumberFormat="1" applyFont="1" applyFill="1" applyBorder="1" applyAlignment="1">
      <alignment horizontal="right" vertical="top"/>
    </xf>
    <xf numFmtId="164" fontId="3" fillId="2" borderId="2" xfId="0" applyNumberFormat="1" applyFont="1" applyFill="1" applyBorder="1" applyAlignment="1">
      <alignment horizontal="right" vertical="top"/>
    </xf>
    <xf numFmtId="0" fontId="3" fillId="2" borderId="3" xfId="0" applyFont="1" applyFill="1" applyBorder="1" applyAlignment="1">
      <alignment horizontal="justify" vertical="top"/>
    </xf>
    <xf numFmtId="0" fontId="3" fillId="3" borderId="0" xfId="0" applyFont="1" applyFill="1" applyAlignment="1">
      <alignment horizontal="justify" vertical="top" wrapText="1"/>
    </xf>
    <xf numFmtId="0" fontId="35" fillId="3" borderId="51" xfId="0" applyFont="1" applyFill="1" applyBorder="1" applyAlignment="1">
      <alignment horizontal="center"/>
    </xf>
    <xf numFmtId="0" fontId="27" fillId="15" borderId="3" xfId="0" applyFont="1" applyFill="1" applyBorder="1" applyAlignment="1">
      <alignment horizontal="center"/>
    </xf>
    <xf numFmtId="0" fontId="3" fillId="2" borderId="40" xfId="0" applyFont="1" applyFill="1" applyBorder="1" applyAlignment="1">
      <alignment horizontal="justify" vertical="top"/>
    </xf>
    <xf numFmtId="0" fontId="3" fillId="2" borderId="13" xfId="0" applyFont="1" applyFill="1" applyBorder="1" applyAlignment="1">
      <alignment horizontal="justify" vertical="top"/>
    </xf>
    <xf numFmtId="0" fontId="3" fillId="2" borderId="41" xfId="0" applyFont="1" applyFill="1" applyBorder="1" applyAlignment="1">
      <alignment horizontal="justify" vertical="top"/>
    </xf>
    <xf numFmtId="0" fontId="3" fillId="3" borderId="0" xfId="0" applyFont="1" applyFill="1" applyAlignment="1">
      <alignment horizontal="left" vertical="top"/>
    </xf>
    <xf numFmtId="164" fontId="28" fillId="15" borderId="4" xfId="0" applyNumberFormat="1" applyFont="1" applyFill="1" applyBorder="1" applyAlignment="1">
      <alignment horizontal="center" vertical="center" wrapText="1"/>
    </xf>
    <xf numFmtId="164" fontId="28" fillId="15" borderId="1" xfId="0" applyNumberFormat="1" applyFont="1" applyFill="1" applyBorder="1" applyAlignment="1">
      <alignment horizontal="center" vertical="center" wrapText="1"/>
    </xf>
    <xf numFmtId="164" fontId="28" fillId="15" borderId="2" xfId="0" applyNumberFormat="1" applyFont="1" applyFill="1" applyBorder="1" applyAlignment="1">
      <alignment horizontal="center" vertical="center" wrapText="1"/>
    </xf>
    <xf numFmtId="0" fontId="28" fillId="15" borderId="3" xfId="0" applyFont="1" applyFill="1" applyBorder="1" applyAlignment="1">
      <alignment horizontal="center" vertical="center" wrapText="1"/>
    </xf>
    <xf numFmtId="0" fontId="3" fillId="2" borderId="3" xfId="0" applyFont="1" applyFill="1" applyBorder="1" applyAlignment="1">
      <alignment horizontal="left" vertical="top"/>
    </xf>
    <xf numFmtId="0" fontId="27" fillId="2" borderId="4" xfId="0" applyFont="1" applyFill="1" applyBorder="1" applyAlignment="1">
      <alignment horizontal="center" vertical="top"/>
    </xf>
    <xf numFmtId="0" fontId="27" fillId="2" borderId="1" xfId="0" applyFont="1" applyFill="1" applyBorder="1" applyAlignment="1">
      <alignment horizontal="center" vertical="top"/>
    </xf>
    <xf numFmtId="0" fontId="27" fillId="2" borderId="2" xfId="0" applyFont="1" applyFill="1" applyBorder="1" applyAlignment="1">
      <alignment horizontal="center" vertical="top"/>
    </xf>
    <xf numFmtId="170" fontId="27" fillId="2" borderId="3" xfId="0" applyNumberFormat="1" applyFont="1" applyFill="1" applyBorder="1" applyAlignment="1">
      <alignment horizontal="right" vertical="top"/>
    </xf>
    <xf numFmtId="0" fontId="27" fillId="2" borderId="3" xfId="0" applyFont="1" applyFill="1" applyBorder="1" applyAlignment="1">
      <alignment horizontal="right" vertical="top"/>
    </xf>
    <xf numFmtId="168" fontId="27" fillId="2" borderId="3" xfId="0" applyNumberFormat="1" applyFont="1" applyFill="1" applyBorder="1" applyAlignment="1">
      <alignment horizontal="right" vertical="top"/>
    </xf>
    <xf numFmtId="164" fontId="27" fillId="2" borderId="3" xfId="0" applyNumberFormat="1" applyFont="1" applyFill="1" applyBorder="1" applyAlignment="1">
      <alignment horizontal="right" vertical="top"/>
    </xf>
    <xf numFmtId="0" fontId="3" fillId="2" borderId="3" xfId="0" applyFont="1" applyFill="1" applyBorder="1" applyAlignment="1">
      <alignment horizontal="left"/>
    </xf>
    <xf numFmtId="0" fontId="3" fillId="2" borderId="4" xfId="0" applyFont="1" applyFill="1" applyBorder="1" applyAlignment="1">
      <alignment horizontal="justify" vertical="top"/>
    </xf>
    <xf numFmtId="0" fontId="3" fillId="2" borderId="1" xfId="0" applyFont="1" applyFill="1" applyBorder="1" applyAlignment="1">
      <alignment horizontal="justify" vertical="top"/>
    </xf>
    <xf numFmtId="0" fontId="3" fillId="2" borderId="2" xfId="0" applyFont="1" applyFill="1" applyBorder="1" applyAlignment="1">
      <alignment horizontal="justify" vertical="top"/>
    </xf>
    <xf numFmtId="0" fontId="3" fillId="3" borderId="0" xfId="0" applyFont="1" applyFill="1" applyAlignment="1">
      <alignment horizontal="left"/>
    </xf>
    <xf numFmtId="0" fontId="35" fillId="3" borderId="0" xfId="0" applyFont="1" applyFill="1" applyAlignment="1">
      <alignment horizontal="center"/>
    </xf>
    <xf numFmtId="0" fontId="27" fillId="3" borderId="0" xfId="0" applyFont="1" applyFill="1" applyAlignment="1">
      <alignment horizontal="justify" vertical="top" wrapText="1"/>
    </xf>
    <xf numFmtId="164" fontId="3" fillId="3" borderId="0" xfId="0" applyNumberFormat="1" applyFont="1" applyFill="1" applyAlignment="1">
      <alignment horizontal="justify"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209550</xdr:colOff>
      <xdr:row>0</xdr:row>
      <xdr:rowOff>28575</xdr:rowOff>
    </xdr:from>
    <xdr:ext cx="581025" cy="6096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12</xdr:col>
      <xdr:colOff>85725</xdr:colOff>
      <xdr:row>0</xdr:row>
      <xdr:rowOff>47625</xdr:rowOff>
    </xdr:from>
    <xdr:ext cx="581025" cy="6096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10</xdr:col>
      <xdr:colOff>47625</xdr:colOff>
      <xdr:row>0</xdr:row>
      <xdr:rowOff>66675</xdr:rowOff>
    </xdr:from>
    <xdr:ext cx="581025" cy="609600"/>
    <xdr:pic>
      <xdr:nvPicPr>
        <xdr:cNvPr id="2" name="Picture 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BA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BAS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92"/>
  <sheetViews>
    <sheetView view="pageBreakPreview" zoomScale="110" zoomScaleNormal="60" workbookViewId="0">
      <selection activeCell="D7" sqref="D7"/>
    </sheetView>
  </sheetViews>
  <sheetFormatPr defaultColWidth="9.109375" defaultRowHeight="15.6" x14ac:dyDescent="0.3"/>
  <cols>
    <col min="1" max="1" width="5.88671875" style="15" customWidth="1"/>
    <col min="2" max="2" width="38.44140625" style="16" customWidth="1"/>
    <col min="3" max="3" width="3.44140625" style="16" customWidth="1"/>
    <col min="4" max="4" width="72.109375" style="14" customWidth="1"/>
    <col min="5" max="5" width="9.109375" style="14"/>
    <col min="6" max="6" width="9.109375" style="94"/>
    <col min="7" max="7" width="9.109375" style="14"/>
  </cols>
  <sheetData>
    <row r="1" spans="1:6" ht="36.75" customHeight="1" x14ac:dyDescent="0.35">
      <c r="A1" s="232" t="s">
        <v>0</v>
      </c>
      <c r="B1" s="232"/>
      <c r="C1" s="232"/>
      <c r="D1" s="232"/>
    </row>
    <row r="2" spans="1:6" s="13" customFormat="1" ht="28.95" customHeight="1" x14ac:dyDescent="0.3">
      <c r="A2" s="35">
        <v>1</v>
      </c>
      <c r="B2" s="45" t="s">
        <v>1</v>
      </c>
      <c r="C2" s="17" t="s">
        <v>2</v>
      </c>
      <c r="D2" s="18" t="s">
        <v>3</v>
      </c>
      <c r="F2" s="95">
        <v>1</v>
      </c>
    </row>
    <row r="3" spans="1:6" s="13" customFormat="1" ht="14.4" customHeight="1" x14ac:dyDescent="0.3">
      <c r="A3" s="36">
        <v>2</v>
      </c>
      <c r="B3" s="46" t="s">
        <v>4</v>
      </c>
      <c r="C3" s="20" t="s">
        <v>2</v>
      </c>
      <c r="D3" s="21" t="s">
        <v>5</v>
      </c>
      <c r="F3" s="95">
        <v>2</v>
      </c>
    </row>
    <row r="4" spans="1:6" s="13" customFormat="1" ht="14.4" customHeight="1" x14ac:dyDescent="0.3">
      <c r="A4" s="36">
        <v>3</v>
      </c>
      <c r="B4" s="46" t="s">
        <v>6</v>
      </c>
      <c r="C4" s="20" t="s">
        <v>2</v>
      </c>
      <c r="D4" s="21" t="s">
        <v>7</v>
      </c>
      <c r="F4" s="95">
        <v>3</v>
      </c>
    </row>
    <row r="5" spans="1:6" s="13" customFormat="1" ht="14.4" customHeight="1" x14ac:dyDescent="0.3">
      <c r="A5" s="36">
        <v>4</v>
      </c>
      <c r="B5" s="46" t="s">
        <v>8</v>
      </c>
      <c r="C5" s="20" t="s">
        <v>2</v>
      </c>
      <c r="D5" s="22" t="s">
        <v>9</v>
      </c>
      <c r="F5" s="95">
        <v>4</v>
      </c>
    </row>
    <row r="6" spans="1:6" s="13" customFormat="1" ht="14.4" customHeight="1" x14ac:dyDescent="0.3">
      <c r="A6" s="36">
        <v>5</v>
      </c>
      <c r="B6" s="46" t="s">
        <v>10</v>
      </c>
      <c r="C6" s="20" t="s">
        <v>2</v>
      </c>
      <c r="D6" s="22" t="s">
        <v>11</v>
      </c>
      <c r="F6" s="95">
        <v>5</v>
      </c>
    </row>
    <row r="7" spans="1:6" s="13" customFormat="1" ht="14.4" customHeight="1" x14ac:dyDescent="0.3">
      <c r="A7" s="36">
        <v>6</v>
      </c>
      <c r="B7" s="46" t="s">
        <v>12</v>
      </c>
      <c r="C7" s="20" t="s">
        <v>2</v>
      </c>
      <c r="D7" s="22" t="s">
        <v>13</v>
      </c>
      <c r="F7" s="95">
        <v>8</v>
      </c>
    </row>
    <row r="8" spans="1:6" s="13" customFormat="1" ht="14.4" customHeight="1" x14ac:dyDescent="0.3">
      <c r="A8" s="36">
        <v>7</v>
      </c>
      <c r="B8" s="46" t="s">
        <v>14</v>
      </c>
      <c r="C8" s="20" t="s">
        <v>2</v>
      </c>
      <c r="D8" s="22" t="s">
        <v>15</v>
      </c>
      <c r="F8" s="95">
        <v>9</v>
      </c>
    </row>
    <row r="9" spans="1:6" s="13" customFormat="1" ht="14.4" customHeight="1" x14ac:dyDescent="0.3">
      <c r="A9" s="36">
        <v>8</v>
      </c>
      <c r="B9" s="47" t="s">
        <v>16</v>
      </c>
      <c r="C9" s="23" t="s">
        <v>2</v>
      </c>
      <c r="D9" s="24" t="s">
        <v>17</v>
      </c>
      <c r="F9" s="95">
        <v>10</v>
      </c>
    </row>
    <row r="10" spans="1:6" s="13" customFormat="1" ht="14.4" customHeight="1" x14ac:dyDescent="0.3">
      <c r="A10" s="36">
        <v>9</v>
      </c>
      <c r="B10" s="46" t="s">
        <v>18</v>
      </c>
      <c r="C10" s="20" t="s">
        <v>2</v>
      </c>
      <c r="D10" s="22"/>
      <c r="F10" s="95">
        <v>11</v>
      </c>
    </row>
    <row r="11" spans="1:6" s="13" customFormat="1" ht="14.4" customHeight="1" x14ac:dyDescent="0.3">
      <c r="A11" s="36">
        <v>10</v>
      </c>
      <c r="B11" s="46" t="s">
        <v>19</v>
      </c>
      <c r="C11" s="20" t="s">
        <v>2</v>
      </c>
      <c r="D11" s="22" t="s">
        <v>20</v>
      </c>
      <c r="F11" s="95">
        <v>13</v>
      </c>
    </row>
    <row r="12" spans="1:6" s="13" customFormat="1" ht="31.2" customHeight="1" x14ac:dyDescent="0.3">
      <c r="A12" s="37">
        <v>11</v>
      </c>
      <c r="B12" s="48" t="s">
        <v>21</v>
      </c>
      <c r="C12" s="26" t="s">
        <v>2</v>
      </c>
      <c r="D12" s="27" t="s">
        <v>22</v>
      </c>
      <c r="F12" s="95">
        <v>14</v>
      </c>
    </row>
    <row r="13" spans="1:6" s="13" customFormat="1" ht="26.25" customHeight="1" x14ac:dyDescent="0.3">
      <c r="A13" s="38">
        <v>12</v>
      </c>
      <c r="B13" s="49" t="s">
        <v>23</v>
      </c>
      <c r="C13" s="28" t="s">
        <v>2</v>
      </c>
      <c r="D13" s="73">
        <v>1</v>
      </c>
      <c r="F13" s="95">
        <v>7</v>
      </c>
    </row>
    <row r="14" spans="1:6" ht="24.9" customHeight="1" x14ac:dyDescent="0.3">
      <c r="A14" s="39">
        <v>13</v>
      </c>
      <c r="B14" s="50" t="s">
        <v>24</v>
      </c>
      <c r="C14" s="29" t="s">
        <v>2</v>
      </c>
      <c r="D14" s="51">
        <v>0</v>
      </c>
      <c r="F14" s="95">
        <v>16</v>
      </c>
    </row>
    <row r="15" spans="1:6" ht="24.9" customHeight="1" x14ac:dyDescent="0.3">
      <c r="A15" s="39">
        <v>14</v>
      </c>
      <c r="B15" s="50" t="s">
        <v>25</v>
      </c>
      <c r="C15" s="29" t="s">
        <v>2</v>
      </c>
      <c r="D15" s="51">
        <v>0</v>
      </c>
      <c r="F15" s="95">
        <v>17</v>
      </c>
    </row>
    <row r="16" spans="1:6" ht="24.9" customHeight="1" x14ac:dyDescent="0.3">
      <c r="A16" s="39">
        <v>15</v>
      </c>
      <c r="B16" s="50" t="s">
        <v>26</v>
      </c>
      <c r="C16" s="29" t="s">
        <v>2</v>
      </c>
      <c r="D16" s="51">
        <v>0</v>
      </c>
      <c r="F16" s="95">
        <v>18</v>
      </c>
    </row>
    <row r="17" spans="1:6" ht="24.9" customHeight="1" x14ac:dyDescent="0.3">
      <c r="A17" s="39">
        <v>16</v>
      </c>
      <c r="B17" s="50" t="s">
        <v>27</v>
      </c>
      <c r="C17" s="29" t="s">
        <v>2</v>
      </c>
      <c r="D17" s="51">
        <v>0</v>
      </c>
      <c r="F17" s="95">
        <v>19</v>
      </c>
    </row>
    <row r="18" spans="1:6" ht="24.9" customHeight="1" x14ac:dyDescent="0.3">
      <c r="A18" s="39">
        <v>17</v>
      </c>
      <c r="B18" s="50" t="s">
        <v>28</v>
      </c>
      <c r="C18" s="29" t="s">
        <v>2</v>
      </c>
      <c r="D18" s="51">
        <v>0</v>
      </c>
      <c r="F18" s="95">
        <v>20</v>
      </c>
    </row>
    <row r="19" spans="1:6" ht="24.9" customHeight="1" x14ac:dyDescent="0.3">
      <c r="A19" s="39">
        <v>18</v>
      </c>
      <c r="B19" s="50" t="s">
        <v>29</v>
      </c>
      <c r="C19" s="29" t="s">
        <v>2</v>
      </c>
      <c r="D19" s="51">
        <v>0</v>
      </c>
      <c r="F19" s="95">
        <v>21</v>
      </c>
    </row>
    <row r="20" spans="1:6" ht="24.9" customHeight="1" x14ac:dyDescent="0.3">
      <c r="A20" s="39">
        <v>19</v>
      </c>
      <c r="B20" s="50" t="s">
        <v>30</v>
      </c>
      <c r="C20" s="29" t="s">
        <v>2</v>
      </c>
      <c r="D20" s="51">
        <v>0</v>
      </c>
      <c r="F20" s="95">
        <v>22</v>
      </c>
    </row>
    <row r="21" spans="1:6" ht="24.9" customHeight="1" x14ac:dyDescent="0.3">
      <c r="A21" s="40">
        <v>20</v>
      </c>
      <c r="B21" s="52" t="s">
        <v>31</v>
      </c>
      <c r="C21" s="30" t="s">
        <v>2</v>
      </c>
      <c r="D21" s="53">
        <v>3</v>
      </c>
      <c r="F21" s="95">
        <v>23</v>
      </c>
    </row>
    <row r="22" spans="1:6" ht="24.9" customHeight="1" x14ac:dyDescent="0.3">
      <c r="A22" s="40">
        <v>21</v>
      </c>
      <c r="B22" s="52" t="s">
        <v>25</v>
      </c>
      <c r="C22" s="30" t="s">
        <v>2</v>
      </c>
      <c r="D22" s="53">
        <v>1</v>
      </c>
      <c r="F22" s="95">
        <v>24</v>
      </c>
    </row>
    <row r="23" spans="1:6" ht="24.9" customHeight="1" x14ac:dyDescent="0.3">
      <c r="A23" s="40">
        <v>22</v>
      </c>
      <c r="B23" s="52" t="s">
        <v>26</v>
      </c>
      <c r="C23" s="30" t="s">
        <v>2</v>
      </c>
      <c r="D23" s="53">
        <v>1</v>
      </c>
      <c r="F23" s="95">
        <v>25</v>
      </c>
    </row>
    <row r="24" spans="1:6" ht="24.9" customHeight="1" x14ac:dyDescent="0.3">
      <c r="A24" s="40">
        <v>23</v>
      </c>
      <c r="B24" s="52" t="s">
        <v>32</v>
      </c>
      <c r="C24" s="30" t="s">
        <v>2</v>
      </c>
      <c r="D24" s="53">
        <v>1</v>
      </c>
      <c r="F24" s="95">
        <v>26</v>
      </c>
    </row>
    <row r="25" spans="1:6" ht="24.9" customHeight="1" x14ac:dyDescent="0.3">
      <c r="A25" s="40">
        <v>24</v>
      </c>
      <c r="B25" s="52" t="s">
        <v>29</v>
      </c>
      <c r="C25" s="30" t="s">
        <v>2</v>
      </c>
      <c r="D25" s="53">
        <v>1</v>
      </c>
      <c r="F25" s="95">
        <v>27</v>
      </c>
    </row>
    <row r="26" spans="1:6" ht="24.9" customHeight="1" x14ac:dyDescent="0.3">
      <c r="A26" s="40">
        <v>25</v>
      </c>
      <c r="B26" s="52" t="s">
        <v>30</v>
      </c>
      <c r="C26" s="30" t="s">
        <v>2</v>
      </c>
      <c r="D26" s="53">
        <v>1</v>
      </c>
      <c r="F26" s="95">
        <v>28</v>
      </c>
    </row>
    <row r="27" spans="1:6" ht="24.9" customHeight="1" x14ac:dyDescent="0.3">
      <c r="A27" s="40">
        <v>26</v>
      </c>
      <c r="B27" s="52" t="s">
        <v>33</v>
      </c>
      <c r="C27" s="30" t="s">
        <v>2</v>
      </c>
      <c r="D27" s="53">
        <v>1</v>
      </c>
      <c r="F27" s="95">
        <v>29</v>
      </c>
    </row>
    <row r="28" spans="1:6" ht="24.9" customHeight="1" x14ac:dyDescent="0.3">
      <c r="A28" s="40">
        <v>27</v>
      </c>
      <c r="B28" s="52" t="s">
        <v>34</v>
      </c>
      <c r="C28" s="30" t="s">
        <v>2</v>
      </c>
      <c r="D28" s="53">
        <v>1</v>
      </c>
      <c r="F28" s="95">
        <v>30</v>
      </c>
    </row>
    <row r="29" spans="1:6" ht="24.9" customHeight="1" x14ac:dyDescent="0.3">
      <c r="A29" s="40">
        <v>28</v>
      </c>
      <c r="B29" s="52" t="s">
        <v>35</v>
      </c>
      <c r="C29" s="30" t="s">
        <v>2</v>
      </c>
      <c r="D29" s="53">
        <v>1</v>
      </c>
      <c r="F29" s="95">
        <v>31</v>
      </c>
    </row>
    <row r="30" spans="1:6" s="13" customFormat="1" ht="26.25" customHeight="1" x14ac:dyDescent="0.3">
      <c r="A30" s="36">
        <v>29</v>
      </c>
      <c r="B30" s="54" t="s">
        <v>36</v>
      </c>
      <c r="C30" s="19" t="s">
        <v>2</v>
      </c>
      <c r="D30" s="72">
        <v>5</v>
      </c>
      <c r="F30" s="95">
        <v>15</v>
      </c>
    </row>
    <row r="31" spans="1:6" s="13" customFormat="1" ht="26.25" customHeight="1" x14ac:dyDescent="0.3">
      <c r="A31" s="41">
        <v>30</v>
      </c>
      <c r="B31" s="55" t="s">
        <v>37</v>
      </c>
      <c r="C31" s="31" t="s">
        <v>2</v>
      </c>
      <c r="D31" s="56" t="s">
        <v>38</v>
      </c>
      <c r="F31" s="95">
        <v>32</v>
      </c>
    </row>
    <row r="32" spans="1:6" s="13" customFormat="1" ht="26.25" customHeight="1" x14ac:dyDescent="0.3">
      <c r="A32" s="41">
        <v>31</v>
      </c>
      <c r="B32" s="55" t="s">
        <v>39</v>
      </c>
      <c r="C32" s="31" t="s">
        <v>2</v>
      </c>
      <c r="D32" s="56" t="s">
        <v>7</v>
      </c>
      <c r="F32" s="95">
        <v>33</v>
      </c>
    </row>
    <row r="33" spans="1:6" s="13" customFormat="1" ht="26.25" customHeight="1" x14ac:dyDescent="0.3">
      <c r="A33" s="41">
        <v>32</v>
      </c>
      <c r="B33" s="55" t="s">
        <v>40</v>
      </c>
      <c r="C33" s="31" t="s">
        <v>2</v>
      </c>
      <c r="D33" s="56" t="s">
        <v>7</v>
      </c>
      <c r="F33" s="95">
        <v>34</v>
      </c>
    </row>
    <row r="34" spans="1:6" s="13" customFormat="1" ht="26.25" customHeight="1" x14ac:dyDescent="0.3">
      <c r="A34" s="42">
        <v>33</v>
      </c>
      <c r="B34" s="57" t="s">
        <v>41</v>
      </c>
      <c r="C34" s="32" t="s">
        <v>2</v>
      </c>
      <c r="D34" s="58" t="s">
        <v>42</v>
      </c>
      <c r="F34" s="95">
        <v>35</v>
      </c>
    </row>
    <row r="35" spans="1:6" s="13" customFormat="1" ht="26.25" customHeight="1" x14ac:dyDescent="0.3">
      <c r="A35" s="42">
        <v>34</v>
      </c>
      <c r="B35" s="59" t="s">
        <v>43</v>
      </c>
      <c r="C35" s="32" t="s">
        <v>2</v>
      </c>
      <c r="D35" s="58" t="s">
        <v>44</v>
      </c>
      <c r="F35" s="95">
        <v>36</v>
      </c>
    </row>
    <row r="36" spans="1:6" s="13" customFormat="1" ht="26.25" customHeight="1" x14ac:dyDescent="0.3">
      <c r="A36" s="42">
        <v>35</v>
      </c>
      <c r="B36" s="60" t="s">
        <v>45</v>
      </c>
      <c r="C36" s="32" t="s">
        <v>2</v>
      </c>
      <c r="D36" s="58" t="s">
        <v>46</v>
      </c>
      <c r="F36" s="95">
        <v>37</v>
      </c>
    </row>
    <row r="37" spans="1:6" s="13" customFormat="1" ht="26.25" customHeight="1" x14ac:dyDescent="0.3">
      <c r="A37" s="42">
        <v>36</v>
      </c>
      <c r="B37" s="61" t="s">
        <v>47</v>
      </c>
      <c r="C37" s="32" t="s">
        <v>2</v>
      </c>
      <c r="D37" s="58" t="s">
        <v>48</v>
      </c>
      <c r="F37" s="95">
        <v>38</v>
      </c>
    </row>
    <row r="38" spans="1:6" s="13" customFormat="1" ht="26.25" customHeight="1" x14ac:dyDescent="0.3">
      <c r="A38" s="42">
        <v>37</v>
      </c>
      <c r="B38" s="62" t="s">
        <v>49</v>
      </c>
      <c r="C38" s="32" t="s">
        <v>2</v>
      </c>
      <c r="D38" s="58" t="s">
        <v>50</v>
      </c>
      <c r="F38" s="95">
        <v>39</v>
      </c>
    </row>
    <row r="39" spans="1:6" s="13" customFormat="1" ht="26.25" customHeight="1" x14ac:dyDescent="0.3">
      <c r="A39" s="42">
        <v>38</v>
      </c>
      <c r="B39" s="63" t="s">
        <v>51</v>
      </c>
      <c r="C39" s="32" t="s">
        <v>2</v>
      </c>
      <c r="D39" s="58" t="s">
        <v>52</v>
      </c>
      <c r="F39" s="95">
        <v>40</v>
      </c>
    </row>
    <row r="40" spans="1:6" s="13" customFormat="1" ht="26.25" customHeight="1" x14ac:dyDescent="0.3">
      <c r="A40" s="42">
        <v>39</v>
      </c>
      <c r="B40" s="57" t="s">
        <v>53</v>
      </c>
      <c r="C40" s="32" t="s">
        <v>2</v>
      </c>
      <c r="D40" s="58" t="s">
        <v>54</v>
      </c>
      <c r="F40" s="95">
        <v>41</v>
      </c>
    </row>
    <row r="41" spans="1:6" s="13" customFormat="1" ht="26.25" customHeight="1" x14ac:dyDescent="0.3">
      <c r="A41" s="42">
        <v>40</v>
      </c>
      <c r="B41" s="57" t="s">
        <v>55</v>
      </c>
      <c r="C41" s="32" t="s">
        <v>2</v>
      </c>
      <c r="D41" s="58" t="s">
        <v>7</v>
      </c>
      <c r="F41" s="95">
        <v>42</v>
      </c>
    </row>
    <row r="42" spans="1:6" s="13" customFormat="1" ht="26.25" customHeight="1" x14ac:dyDescent="0.3">
      <c r="A42" s="42">
        <v>41</v>
      </c>
      <c r="B42" s="57" t="s">
        <v>56</v>
      </c>
      <c r="C42" s="32" t="s">
        <v>2</v>
      </c>
      <c r="D42" s="58" t="s">
        <v>7</v>
      </c>
      <c r="F42" s="95">
        <v>43</v>
      </c>
    </row>
    <row r="43" spans="1:6" s="13" customFormat="1" ht="26.25" customHeight="1" x14ac:dyDescent="0.3">
      <c r="A43" s="42">
        <v>42</v>
      </c>
      <c r="B43" s="57" t="s">
        <v>57</v>
      </c>
      <c r="C43" s="32" t="s">
        <v>2</v>
      </c>
      <c r="D43" s="58" t="s">
        <v>7</v>
      </c>
      <c r="F43" s="95">
        <v>44</v>
      </c>
    </row>
    <row r="44" spans="1:6" s="13" customFormat="1" ht="26.25" customHeight="1" x14ac:dyDescent="0.3">
      <c r="A44" s="42">
        <v>43</v>
      </c>
      <c r="B44" s="57" t="s">
        <v>58</v>
      </c>
      <c r="C44" s="32" t="s">
        <v>2</v>
      </c>
      <c r="D44" s="58" t="s">
        <v>7</v>
      </c>
      <c r="F44" s="95">
        <v>45</v>
      </c>
    </row>
    <row r="45" spans="1:6" s="13" customFormat="1" ht="26.25" customHeight="1" x14ac:dyDescent="0.3">
      <c r="A45" s="42">
        <v>44</v>
      </c>
      <c r="B45" s="57" t="s">
        <v>59</v>
      </c>
      <c r="C45" s="32" t="s">
        <v>2</v>
      </c>
      <c r="D45" s="58" t="s">
        <v>7</v>
      </c>
      <c r="F45" s="95">
        <v>46</v>
      </c>
    </row>
    <row r="46" spans="1:6" s="13" customFormat="1" ht="26.25" customHeight="1" x14ac:dyDescent="0.3">
      <c r="A46" s="42">
        <v>45</v>
      </c>
      <c r="B46" s="57" t="s">
        <v>60</v>
      </c>
      <c r="C46" s="32" t="s">
        <v>2</v>
      </c>
      <c r="D46" s="58" t="s">
        <v>7</v>
      </c>
      <c r="F46" s="95">
        <v>47</v>
      </c>
    </row>
    <row r="47" spans="1:6" s="13" customFormat="1" ht="26.25" customHeight="1" x14ac:dyDescent="0.3">
      <c r="A47" s="42">
        <v>46</v>
      </c>
      <c r="B47" s="57" t="s">
        <v>61</v>
      </c>
      <c r="C47" s="32" t="s">
        <v>2</v>
      </c>
      <c r="D47" s="58" t="s">
        <v>7</v>
      </c>
      <c r="F47" s="95">
        <v>48</v>
      </c>
    </row>
    <row r="48" spans="1:6" s="13" customFormat="1" ht="26.25" customHeight="1" x14ac:dyDescent="0.3">
      <c r="A48" s="43">
        <v>47</v>
      </c>
      <c r="B48" s="64" t="s">
        <v>62</v>
      </c>
      <c r="C48" s="65" t="s">
        <v>2</v>
      </c>
      <c r="D48" s="74">
        <v>240</v>
      </c>
      <c r="F48" s="95">
        <v>49</v>
      </c>
    </row>
    <row r="49" spans="1:6" s="13" customFormat="1" ht="26.25" customHeight="1" x14ac:dyDescent="0.3">
      <c r="A49" s="43">
        <v>48</v>
      </c>
      <c r="B49" s="64" t="s">
        <v>63</v>
      </c>
      <c r="C49" s="65" t="s">
        <v>2</v>
      </c>
      <c r="D49" s="74" t="s">
        <v>64</v>
      </c>
      <c r="F49" s="95">
        <v>50</v>
      </c>
    </row>
    <row r="50" spans="1:6" s="13" customFormat="1" ht="26.25" customHeight="1" x14ac:dyDescent="0.3">
      <c r="A50" s="43">
        <v>49</v>
      </c>
      <c r="B50" s="66" t="s">
        <v>65</v>
      </c>
      <c r="C50" s="65" t="s">
        <v>2</v>
      </c>
      <c r="D50" s="74">
        <v>48</v>
      </c>
      <c r="F50" s="95">
        <v>51</v>
      </c>
    </row>
    <row r="51" spans="1:6" s="13" customFormat="1" ht="26.25" customHeight="1" x14ac:dyDescent="0.3">
      <c r="A51" s="43">
        <v>50</v>
      </c>
      <c r="B51" s="66" t="s">
        <v>66</v>
      </c>
      <c r="C51" s="65" t="s">
        <v>2</v>
      </c>
      <c r="D51" s="74" t="s">
        <v>67</v>
      </c>
      <c r="F51" s="95">
        <v>52</v>
      </c>
    </row>
    <row r="52" spans="1:6" s="13" customFormat="1" ht="26.25" customHeight="1" x14ac:dyDescent="0.3">
      <c r="A52" s="43">
        <v>51</v>
      </c>
      <c r="B52" s="67" t="s">
        <v>68</v>
      </c>
      <c r="C52" s="65" t="s">
        <v>2</v>
      </c>
      <c r="D52" s="74">
        <v>12</v>
      </c>
      <c r="F52" s="95">
        <v>53</v>
      </c>
    </row>
    <row r="53" spans="1:6" s="13" customFormat="1" ht="26.25" customHeight="1" x14ac:dyDescent="0.3">
      <c r="A53" s="43">
        <v>52</v>
      </c>
      <c r="B53" s="67" t="s">
        <v>69</v>
      </c>
      <c r="C53" s="65" t="s">
        <v>2</v>
      </c>
      <c r="D53" s="74">
        <v>3</v>
      </c>
      <c r="F53" s="95">
        <v>54</v>
      </c>
    </row>
    <row r="54" spans="1:6" s="13" customFormat="1" ht="26.25" customHeight="1" x14ac:dyDescent="0.3">
      <c r="A54" s="43">
        <v>53</v>
      </c>
      <c r="B54" s="68" t="s">
        <v>70</v>
      </c>
      <c r="C54" s="65" t="s">
        <v>2</v>
      </c>
      <c r="D54" s="74">
        <v>240</v>
      </c>
      <c r="F54" s="95">
        <v>55</v>
      </c>
    </row>
    <row r="55" spans="1:6" s="13" customFormat="1" ht="26.25" customHeight="1" x14ac:dyDescent="0.3">
      <c r="A55" s="43">
        <v>54</v>
      </c>
      <c r="B55" s="68" t="s">
        <v>71</v>
      </c>
      <c r="C55" s="65" t="s">
        <v>2</v>
      </c>
      <c r="D55" s="74" t="s">
        <v>64</v>
      </c>
      <c r="F55" s="95">
        <v>56</v>
      </c>
    </row>
    <row r="56" spans="1:6" s="13" customFormat="1" ht="26.25" customHeight="1" x14ac:dyDescent="0.3">
      <c r="A56" s="43">
        <v>55</v>
      </c>
      <c r="B56" s="69" t="s">
        <v>72</v>
      </c>
      <c r="C56" s="65" t="s">
        <v>2</v>
      </c>
      <c r="D56" s="74">
        <v>240</v>
      </c>
      <c r="F56" s="95">
        <v>57</v>
      </c>
    </row>
    <row r="57" spans="1:6" s="13" customFormat="1" ht="26.25" customHeight="1" x14ac:dyDescent="0.3">
      <c r="A57" s="43">
        <v>56</v>
      </c>
      <c r="B57" s="69" t="s">
        <v>73</v>
      </c>
      <c r="C57" s="65" t="s">
        <v>2</v>
      </c>
      <c r="D57" s="74">
        <v>1</v>
      </c>
      <c r="F57" s="95">
        <v>58</v>
      </c>
    </row>
    <row r="58" spans="1:6" s="13" customFormat="1" ht="26.25" customHeight="1" x14ac:dyDescent="0.3">
      <c r="A58" s="43">
        <v>57</v>
      </c>
      <c r="B58" s="70" t="s">
        <v>74</v>
      </c>
      <c r="C58" s="65" t="s">
        <v>2</v>
      </c>
      <c r="D58" s="74">
        <v>12</v>
      </c>
      <c r="F58" s="95">
        <v>59</v>
      </c>
    </row>
    <row r="59" spans="1:6" s="13" customFormat="1" ht="26.25" customHeight="1" x14ac:dyDescent="0.3">
      <c r="A59" s="43">
        <v>58</v>
      </c>
      <c r="B59" s="70" t="s">
        <v>75</v>
      </c>
      <c r="C59" s="65" t="s">
        <v>2</v>
      </c>
      <c r="D59" s="74">
        <v>3</v>
      </c>
      <c r="F59" s="95">
        <v>60</v>
      </c>
    </row>
    <row r="60" spans="1:6" s="13" customFormat="1" ht="26.25" customHeight="1" x14ac:dyDescent="0.3">
      <c r="A60" s="43">
        <v>59</v>
      </c>
      <c r="B60" s="64" t="s">
        <v>76</v>
      </c>
      <c r="C60" s="65" t="s">
        <v>2</v>
      </c>
      <c r="D60" s="74">
        <v>2</v>
      </c>
      <c r="F60" s="95">
        <v>61</v>
      </c>
    </row>
    <row r="61" spans="1:6" s="13" customFormat="1" ht="26.25" customHeight="1" x14ac:dyDescent="0.3">
      <c r="A61" s="43">
        <v>60</v>
      </c>
      <c r="B61" s="64" t="s">
        <v>77</v>
      </c>
      <c r="C61" s="65" t="s">
        <v>2</v>
      </c>
      <c r="D61" s="74" t="s">
        <v>64</v>
      </c>
      <c r="F61" s="95">
        <v>62</v>
      </c>
    </row>
    <row r="62" spans="1:6" s="13" customFormat="1" ht="26.25" customHeight="1" x14ac:dyDescent="0.3">
      <c r="A62" s="43">
        <v>61</v>
      </c>
      <c r="B62" s="64" t="s">
        <v>78</v>
      </c>
      <c r="C62" s="65" t="s">
        <v>2</v>
      </c>
      <c r="D62" s="74">
        <v>0</v>
      </c>
      <c r="F62" s="95">
        <v>63</v>
      </c>
    </row>
    <row r="63" spans="1:6" s="13" customFormat="1" ht="26.25" customHeight="1" x14ac:dyDescent="0.3">
      <c r="A63" s="43">
        <v>62</v>
      </c>
      <c r="B63" s="64" t="s">
        <v>79</v>
      </c>
      <c r="C63" s="65" t="s">
        <v>2</v>
      </c>
      <c r="D63" s="74">
        <v>0</v>
      </c>
      <c r="F63" s="95">
        <v>64</v>
      </c>
    </row>
    <row r="64" spans="1:6" s="13" customFormat="1" ht="26.25" customHeight="1" x14ac:dyDescent="0.3">
      <c r="A64" s="43">
        <v>63</v>
      </c>
      <c r="B64" s="64" t="s">
        <v>80</v>
      </c>
      <c r="C64" s="65" t="s">
        <v>2</v>
      </c>
      <c r="D64" s="74">
        <v>0</v>
      </c>
      <c r="F64" s="95">
        <v>65</v>
      </c>
    </row>
    <row r="65" spans="1:6" s="13" customFormat="1" ht="26.25" customHeight="1" x14ac:dyDescent="0.3">
      <c r="A65" s="43">
        <v>64</v>
      </c>
      <c r="B65" s="64" t="s">
        <v>81</v>
      </c>
      <c r="C65" s="65" t="s">
        <v>2</v>
      </c>
      <c r="D65" s="74">
        <v>0</v>
      </c>
      <c r="F65" s="95">
        <v>66</v>
      </c>
    </row>
    <row r="66" spans="1:6" s="13" customFormat="1" ht="26.25" customHeight="1" x14ac:dyDescent="0.3">
      <c r="A66" s="43">
        <v>65</v>
      </c>
      <c r="B66" s="64" t="s">
        <v>82</v>
      </c>
      <c r="C66" s="65" t="s">
        <v>2</v>
      </c>
      <c r="D66" s="74">
        <v>0</v>
      </c>
      <c r="F66" s="95">
        <v>67</v>
      </c>
    </row>
    <row r="67" spans="1:6" s="13" customFormat="1" ht="26.25" customHeight="1" x14ac:dyDescent="0.3">
      <c r="A67" s="43">
        <v>66</v>
      </c>
      <c r="B67" s="64" t="s">
        <v>83</v>
      </c>
      <c r="C67" s="65" t="s">
        <v>2</v>
      </c>
      <c r="D67" s="74">
        <v>0</v>
      </c>
      <c r="F67" s="95">
        <v>68</v>
      </c>
    </row>
    <row r="68" spans="1:6" s="13" customFormat="1" ht="26.25" customHeight="1" x14ac:dyDescent="0.3">
      <c r="A68" s="43">
        <v>67</v>
      </c>
      <c r="B68" s="64" t="s">
        <v>84</v>
      </c>
      <c r="C68" s="65" t="s">
        <v>2</v>
      </c>
      <c r="D68" s="74">
        <v>0</v>
      </c>
      <c r="F68" s="95">
        <v>69</v>
      </c>
    </row>
    <row r="69" spans="1:6" s="13" customFormat="1" ht="26.25" customHeight="1" x14ac:dyDescent="0.3">
      <c r="A69" s="43">
        <v>68</v>
      </c>
      <c r="B69" s="64" t="s">
        <v>85</v>
      </c>
      <c r="C69" s="65" t="s">
        <v>2</v>
      </c>
      <c r="D69" s="74">
        <v>0</v>
      </c>
      <c r="F69" s="95">
        <v>70</v>
      </c>
    </row>
    <row r="70" spans="1:6" s="13" customFormat="1" ht="26.25" customHeight="1" x14ac:dyDescent="0.3">
      <c r="A70" s="43">
        <v>69</v>
      </c>
      <c r="B70" s="64" t="s">
        <v>86</v>
      </c>
      <c r="C70" s="65" t="s">
        <v>2</v>
      </c>
      <c r="D70" s="74">
        <v>0</v>
      </c>
      <c r="F70" s="95">
        <v>71</v>
      </c>
    </row>
    <row r="71" spans="1:6" s="13" customFormat="1" ht="26.25" customHeight="1" x14ac:dyDescent="0.3">
      <c r="A71" s="43">
        <v>70</v>
      </c>
      <c r="B71" s="64" t="s">
        <v>87</v>
      </c>
      <c r="C71" s="65" t="s">
        <v>2</v>
      </c>
      <c r="D71" s="74">
        <v>0</v>
      </c>
      <c r="F71" s="95">
        <v>72</v>
      </c>
    </row>
    <row r="72" spans="1:6" s="13" customFormat="1" ht="26.25" customHeight="1" x14ac:dyDescent="0.3">
      <c r="A72" s="43">
        <v>71</v>
      </c>
      <c r="B72" s="64" t="s">
        <v>88</v>
      </c>
      <c r="C72" s="65" t="s">
        <v>2</v>
      </c>
      <c r="D72" s="74">
        <v>0</v>
      </c>
      <c r="F72" s="95">
        <v>73</v>
      </c>
    </row>
    <row r="73" spans="1:6" s="13" customFormat="1" ht="26.25" customHeight="1" x14ac:dyDescent="0.3">
      <c r="A73" s="43">
        <v>72</v>
      </c>
      <c r="B73" s="64" t="s">
        <v>89</v>
      </c>
      <c r="C73" s="65" t="s">
        <v>2</v>
      </c>
      <c r="D73" s="74">
        <v>0</v>
      </c>
      <c r="F73" s="95">
        <v>74</v>
      </c>
    </row>
    <row r="74" spans="1:6" s="13" customFormat="1" ht="26.25" customHeight="1" x14ac:dyDescent="0.3">
      <c r="A74" s="43">
        <v>73</v>
      </c>
      <c r="B74" s="64" t="s">
        <v>90</v>
      </c>
      <c r="C74" s="65" t="s">
        <v>2</v>
      </c>
      <c r="D74" s="74">
        <v>0</v>
      </c>
      <c r="F74" s="95">
        <v>75</v>
      </c>
    </row>
    <row r="75" spans="1:6" s="13" customFormat="1" ht="26.25" customHeight="1" x14ac:dyDescent="0.3">
      <c r="A75" s="43">
        <v>74</v>
      </c>
      <c r="B75" s="64" t="s">
        <v>91</v>
      </c>
      <c r="C75" s="65" t="s">
        <v>2</v>
      </c>
      <c r="D75" s="74">
        <v>0</v>
      </c>
      <c r="F75" s="95">
        <v>76</v>
      </c>
    </row>
    <row r="76" spans="1:6" s="13" customFormat="1" ht="26.25" customHeight="1" x14ac:dyDescent="0.3">
      <c r="A76" s="44">
        <v>75</v>
      </c>
      <c r="B76" s="71" t="s">
        <v>92</v>
      </c>
      <c r="C76" s="33" t="s">
        <v>2</v>
      </c>
      <c r="D76" s="34" t="s">
        <v>93</v>
      </c>
      <c r="F76" s="95">
        <v>77</v>
      </c>
    </row>
    <row r="77" spans="1:6" s="13" customFormat="1" ht="26.25" customHeight="1" x14ac:dyDescent="0.3">
      <c r="A77" s="44">
        <v>76</v>
      </c>
      <c r="B77" s="71" t="s">
        <v>94</v>
      </c>
      <c r="C77" s="33" t="s">
        <v>2</v>
      </c>
      <c r="D77" s="34" t="s">
        <v>95</v>
      </c>
      <c r="F77" s="95">
        <v>78</v>
      </c>
    </row>
    <row r="78" spans="1:6" s="13" customFormat="1" ht="26.25" customHeight="1" x14ac:dyDescent="0.3">
      <c r="A78" s="44">
        <v>77</v>
      </c>
      <c r="B78" s="71" t="s">
        <v>96</v>
      </c>
      <c r="C78" s="33" t="s">
        <v>2</v>
      </c>
      <c r="D78" s="34" t="s">
        <v>97</v>
      </c>
      <c r="F78" s="95">
        <v>79</v>
      </c>
    </row>
    <row r="79" spans="1:6" s="13" customFormat="1" ht="26.25" customHeight="1" x14ac:dyDescent="0.3">
      <c r="A79" s="44">
        <v>78</v>
      </c>
      <c r="B79" s="71" t="s">
        <v>98</v>
      </c>
      <c r="C79" s="33" t="s">
        <v>2</v>
      </c>
      <c r="D79" s="34" t="s">
        <v>99</v>
      </c>
      <c r="F79" s="95">
        <v>80</v>
      </c>
    </row>
    <row r="80" spans="1:6" s="13" customFormat="1" ht="26.25" customHeight="1" x14ac:dyDescent="0.3">
      <c r="A80" s="44">
        <v>79</v>
      </c>
      <c r="B80" s="71" t="s">
        <v>100</v>
      </c>
      <c r="C80" s="33" t="s">
        <v>2</v>
      </c>
      <c r="D80" s="34" t="s">
        <v>101</v>
      </c>
      <c r="F80" s="95">
        <v>81</v>
      </c>
    </row>
    <row r="81" spans="1:6" s="13" customFormat="1" ht="26.25" customHeight="1" x14ac:dyDescent="0.3">
      <c r="A81" s="44">
        <v>80</v>
      </c>
      <c r="B81" s="71" t="s">
        <v>102</v>
      </c>
      <c r="C81" s="33" t="s">
        <v>2</v>
      </c>
      <c r="D81" s="34" t="s">
        <v>103</v>
      </c>
      <c r="F81" s="95">
        <v>82</v>
      </c>
    </row>
    <row r="82" spans="1:6" s="13" customFormat="1" ht="26.25" customHeight="1" x14ac:dyDescent="0.3">
      <c r="A82" s="44">
        <v>81</v>
      </c>
      <c r="B82" s="71" t="s">
        <v>104</v>
      </c>
      <c r="C82" s="33" t="s">
        <v>2</v>
      </c>
      <c r="D82" s="34" t="s">
        <v>105</v>
      </c>
      <c r="F82" s="95">
        <v>83</v>
      </c>
    </row>
    <row r="83" spans="1:6" s="13" customFormat="1" ht="26.25" customHeight="1" x14ac:dyDescent="0.3">
      <c r="A83" s="44">
        <v>82</v>
      </c>
      <c r="B83" s="71" t="s">
        <v>106</v>
      </c>
      <c r="C83" s="33" t="s">
        <v>2</v>
      </c>
      <c r="D83" s="34" t="s">
        <v>7</v>
      </c>
      <c r="F83" s="95">
        <v>84</v>
      </c>
    </row>
    <row r="84" spans="1:6" s="13" customFormat="1" ht="26.25" customHeight="1" x14ac:dyDescent="0.3">
      <c r="A84" s="44">
        <v>83</v>
      </c>
      <c r="B84" s="71" t="s">
        <v>107</v>
      </c>
      <c r="C84" s="33" t="s">
        <v>2</v>
      </c>
      <c r="D84" s="34" t="s">
        <v>7</v>
      </c>
      <c r="F84" s="95">
        <v>85</v>
      </c>
    </row>
    <row r="85" spans="1:6" s="13" customFormat="1" ht="26.25" customHeight="1" x14ac:dyDescent="0.3">
      <c r="A85" s="44">
        <v>84</v>
      </c>
      <c r="B85" s="71" t="s">
        <v>108</v>
      </c>
      <c r="C85" s="33" t="s">
        <v>2</v>
      </c>
      <c r="D85" s="34" t="s">
        <v>7</v>
      </c>
      <c r="F85" s="95">
        <v>86</v>
      </c>
    </row>
    <row r="86" spans="1:6" s="13" customFormat="1" ht="26.25" customHeight="1" x14ac:dyDescent="0.3">
      <c r="A86" s="44">
        <v>85</v>
      </c>
      <c r="B86" s="71" t="s">
        <v>109</v>
      </c>
      <c r="C86" s="33" t="s">
        <v>2</v>
      </c>
      <c r="D86" s="34" t="s">
        <v>7</v>
      </c>
      <c r="F86" s="95">
        <v>87</v>
      </c>
    </row>
    <row r="87" spans="1:6" s="13" customFormat="1" ht="26.25" customHeight="1" x14ac:dyDescent="0.3">
      <c r="A87" s="44">
        <v>86</v>
      </c>
      <c r="B87" s="71" t="s">
        <v>110</v>
      </c>
      <c r="C87" s="33" t="s">
        <v>2</v>
      </c>
      <c r="D87" s="34" t="s">
        <v>7</v>
      </c>
      <c r="F87" s="95">
        <v>88</v>
      </c>
    </row>
    <row r="88" spans="1:6" s="13" customFormat="1" ht="26.25" customHeight="1" x14ac:dyDescent="0.3">
      <c r="A88" s="44">
        <v>87</v>
      </c>
      <c r="B88" s="71" t="s">
        <v>111</v>
      </c>
      <c r="C88" s="33" t="s">
        <v>2</v>
      </c>
      <c r="D88" s="34" t="s">
        <v>7</v>
      </c>
      <c r="F88" s="95">
        <v>89</v>
      </c>
    </row>
    <row r="89" spans="1:6" s="13" customFormat="1" ht="26.25" customHeight="1" x14ac:dyDescent="0.3">
      <c r="A89" s="44">
        <v>88</v>
      </c>
      <c r="B89" s="71" t="s">
        <v>112</v>
      </c>
      <c r="C89" s="33" t="s">
        <v>2</v>
      </c>
      <c r="D89" s="34" t="s">
        <v>7</v>
      </c>
      <c r="F89" s="95">
        <v>90</v>
      </c>
    </row>
    <row r="90" spans="1:6" x14ac:dyDescent="0.3">
      <c r="A90" s="75">
        <v>89</v>
      </c>
      <c r="B90" s="76" t="s">
        <v>113</v>
      </c>
      <c r="C90" s="25" t="s">
        <v>2</v>
      </c>
      <c r="D90" s="77" t="s">
        <v>7</v>
      </c>
      <c r="F90" s="95">
        <v>91</v>
      </c>
    </row>
    <row r="91" spans="1:6" x14ac:dyDescent="0.3">
      <c r="A91" s="75">
        <v>90</v>
      </c>
      <c r="B91" s="76" t="s">
        <v>114</v>
      </c>
      <c r="C91" s="25" t="s">
        <v>2</v>
      </c>
      <c r="D91" s="77" t="s">
        <v>7</v>
      </c>
      <c r="F91" s="95">
        <v>92</v>
      </c>
    </row>
    <row r="92" spans="1:6" x14ac:dyDescent="0.3">
      <c r="A92" s="91">
        <v>91</v>
      </c>
      <c r="B92" s="93" t="s">
        <v>115</v>
      </c>
      <c r="C92" s="93" t="s">
        <v>2</v>
      </c>
      <c r="D92" s="92">
        <v>1251</v>
      </c>
      <c r="F92" s="95">
        <v>96</v>
      </c>
    </row>
  </sheetData>
  <sheetProtection password="CC7A" sheet="1" formatColumns="0" formatRows="0" insertHyperlinks="0" selectLockedCells="1" autoFilter="0" pivotTables="0" selectUnlockedCells="1"/>
  <mergeCells count="1">
    <mergeCell ref="A1:D1"/>
  </mergeCells>
  <pageMargins left="0.7" right="0.7" top="0.75" bottom="0.75" header="0.3" footer="0.3"/>
  <pageSetup paperSize="300" scale="6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AS151"/>
  <sheetViews>
    <sheetView tabSelected="1" view="pageBreakPreview" zoomScaleNormal="120" workbookViewId="0"/>
  </sheetViews>
  <sheetFormatPr defaultColWidth="6.109375" defaultRowHeight="14.4" x14ac:dyDescent="0.3"/>
  <cols>
    <col min="1" max="1" width="6.109375" style="84"/>
    <col min="2" max="4" width="3.6640625" style="8" customWidth="1"/>
    <col min="5" max="5" width="4.109375" style="8" customWidth="1"/>
    <col min="6" max="23" width="3.6640625" style="8" customWidth="1"/>
    <col min="24" max="24" width="1.33203125" style="8" customWidth="1"/>
    <col min="25" max="25" width="3.88671875" style="128" hidden="1" customWidth="1"/>
    <col min="26" max="26" width="7.33203125" style="7" hidden="1" customWidth="1"/>
    <col min="27" max="27" width="6.109375" style="7"/>
    <col min="28" max="28" width="6.109375" style="8"/>
  </cols>
  <sheetData>
    <row r="1" spans="1:23" x14ac:dyDescent="0.3">
      <c r="A1" s="83"/>
      <c r="B1" s="9"/>
      <c r="C1" s="9"/>
      <c r="D1" s="9"/>
      <c r="E1" s="9"/>
      <c r="F1" s="9"/>
      <c r="G1" s="9"/>
      <c r="H1" s="9"/>
      <c r="I1" s="9"/>
      <c r="J1" s="9"/>
      <c r="K1" s="9"/>
      <c r="L1" s="9"/>
      <c r="M1" s="9"/>
      <c r="N1" s="9"/>
      <c r="O1" s="9"/>
      <c r="P1" s="9"/>
      <c r="Q1" s="9"/>
      <c r="R1" s="9"/>
      <c r="S1" s="9"/>
      <c r="T1" s="9"/>
      <c r="U1" s="9"/>
      <c r="V1" s="9"/>
      <c r="W1" s="9"/>
    </row>
    <row r="2" spans="1:23" x14ac:dyDescent="0.3">
      <c r="A2" s="83"/>
      <c r="B2" s="9"/>
      <c r="C2" s="9"/>
      <c r="D2" s="9"/>
      <c r="E2" s="9"/>
      <c r="F2" s="9"/>
      <c r="G2" s="9"/>
      <c r="H2" s="9"/>
      <c r="I2" s="9"/>
      <c r="J2" s="9"/>
      <c r="K2" s="9"/>
      <c r="L2" s="9"/>
      <c r="M2" s="9"/>
      <c r="N2" s="9"/>
      <c r="O2" s="9"/>
      <c r="P2" s="9"/>
      <c r="Q2" s="9"/>
      <c r="R2" s="9"/>
      <c r="S2" s="9"/>
      <c r="T2" s="9"/>
      <c r="U2" s="9"/>
      <c r="V2" s="9"/>
      <c r="W2" s="9"/>
    </row>
    <row r="3" spans="1:23" x14ac:dyDescent="0.3">
      <c r="A3" s="83"/>
      <c r="B3" s="9"/>
      <c r="C3" s="9"/>
      <c r="D3" s="9"/>
      <c r="E3" s="9"/>
      <c r="F3" s="9"/>
      <c r="G3" s="9"/>
      <c r="H3" s="9"/>
      <c r="I3" s="9"/>
      <c r="J3" s="9"/>
      <c r="K3" s="9"/>
      <c r="L3" s="9"/>
      <c r="M3" s="9"/>
      <c r="N3" s="9"/>
      <c r="O3" s="9"/>
      <c r="P3" s="9"/>
      <c r="Q3" s="9"/>
      <c r="R3" s="9"/>
      <c r="S3" s="9"/>
      <c r="T3" s="9"/>
      <c r="U3" s="9"/>
      <c r="V3" s="9"/>
      <c r="W3" s="9"/>
    </row>
    <row r="4" spans="1:23" x14ac:dyDescent="0.3">
      <c r="A4" s="83"/>
      <c r="B4" s="9"/>
      <c r="C4" s="9"/>
      <c r="D4" s="9"/>
      <c r="E4" s="9"/>
      <c r="F4" s="9"/>
      <c r="G4" s="9"/>
      <c r="H4" s="9"/>
      <c r="I4" s="9"/>
      <c r="J4" s="9"/>
      <c r="K4" s="9"/>
      <c r="L4" s="9"/>
      <c r="M4" s="9"/>
      <c r="N4" s="9"/>
      <c r="O4" s="9"/>
      <c r="P4" s="9"/>
      <c r="Q4" s="9"/>
      <c r="R4" s="9"/>
      <c r="S4" s="9"/>
      <c r="T4" s="9"/>
      <c r="U4" s="9"/>
      <c r="V4" s="9"/>
      <c r="W4" s="9"/>
    </row>
    <row r="5" spans="1:23" ht="13.8" customHeight="1" x14ac:dyDescent="0.3">
      <c r="A5" s="234" t="s">
        <v>116</v>
      </c>
      <c r="B5" s="234"/>
      <c r="C5" s="234"/>
      <c r="D5" s="234"/>
      <c r="E5" s="234"/>
      <c r="F5" s="234"/>
      <c r="G5" s="234"/>
      <c r="H5" s="234"/>
      <c r="I5" s="234"/>
      <c r="J5" s="234"/>
      <c r="K5" s="234"/>
      <c r="L5" s="234"/>
      <c r="M5" s="234"/>
      <c r="N5" s="234"/>
      <c r="O5" s="234"/>
      <c r="P5" s="234"/>
      <c r="Q5" s="234"/>
      <c r="R5" s="234"/>
      <c r="S5" s="234"/>
      <c r="T5" s="234"/>
      <c r="U5" s="234"/>
      <c r="V5" s="234"/>
      <c r="W5" s="234"/>
    </row>
    <row r="6" spans="1:23" ht="8.25" customHeight="1" x14ac:dyDescent="0.3">
      <c r="A6" s="199"/>
      <c r="B6" s="199"/>
      <c r="C6" s="199"/>
      <c r="D6" s="199"/>
      <c r="E6" s="199"/>
      <c r="F6" s="199"/>
      <c r="G6" s="199"/>
      <c r="H6" s="199"/>
      <c r="I6" s="199"/>
      <c r="J6" s="199"/>
      <c r="K6" s="199"/>
      <c r="L6" s="199"/>
      <c r="M6" s="199"/>
      <c r="N6" s="199"/>
      <c r="O6" s="199"/>
      <c r="P6" s="199"/>
      <c r="Q6" s="199"/>
      <c r="R6" s="199"/>
      <c r="S6" s="199"/>
      <c r="T6" s="199"/>
      <c r="U6" s="199"/>
      <c r="V6" s="199"/>
      <c r="W6" s="199"/>
    </row>
    <row r="7" spans="1:23" ht="14.4" customHeight="1" x14ac:dyDescent="0.3">
      <c r="A7" s="255" t="s">
        <v>117</v>
      </c>
      <c r="B7" s="255"/>
      <c r="C7" s="255"/>
      <c r="D7" s="255"/>
      <c r="E7" s="255"/>
      <c r="F7" s="255"/>
      <c r="G7" s="255"/>
      <c r="H7" s="255"/>
      <c r="I7" s="255"/>
      <c r="J7" s="255"/>
      <c r="K7" s="255"/>
      <c r="L7" s="255"/>
      <c r="M7" s="255"/>
      <c r="N7" s="255"/>
      <c r="O7" s="255"/>
      <c r="P7" s="255"/>
      <c r="Q7" s="255"/>
      <c r="R7" s="255"/>
      <c r="S7" s="255"/>
      <c r="T7" s="255"/>
      <c r="U7" s="255"/>
      <c r="V7" s="255"/>
      <c r="W7" s="255"/>
    </row>
    <row r="8" spans="1:23" x14ac:dyDescent="0.3">
      <c r="A8" s="172"/>
      <c r="B8" s="171"/>
      <c r="C8" s="171"/>
      <c r="D8" s="171"/>
      <c r="E8" s="171"/>
      <c r="F8" s="171"/>
      <c r="G8" s="171"/>
      <c r="H8" s="171"/>
      <c r="I8" s="171"/>
      <c r="J8" s="171"/>
      <c r="K8" s="171"/>
      <c r="L8" s="171"/>
      <c r="M8" s="171"/>
      <c r="N8" s="171"/>
      <c r="O8" s="171"/>
      <c r="P8" s="171"/>
      <c r="Q8" s="171"/>
      <c r="R8" s="171"/>
      <c r="S8" s="171"/>
      <c r="T8" s="171"/>
      <c r="U8" s="171"/>
      <c r="V8" s="171"/>
      <c r="W8" s="171"/>
    </row>
    <row r="9" spans="1:23" ht="21.6" customHeight="1" x14ac:dyDescent="0.3">
      <c r="A9" s="200" t="s">
        <v>118</v>
      </c>
      <c r="B9" s="201" t="s">
        <v>119</v>
      </c>
      <c r="C9" s="201"/>
      <c r="D9" s="201"/>
      <c r="E9" s="202"/>
      <c r="F9" s="202" t="s">
        <v>2</v>
      </c>
      <c r="G9" s="253" t="str">
        <f>DATA!D3</f>
        <v>Pengadministrasi Perkantoran</v>
      </c>
      <c r="H9" s="253"/>
      <c r="I9" s="253"/>
      <c r="J9" s="253"/>
      <c r="K9" s="253"/>
      <c r="L9" s="253"/>
      <c r="M9" s="253"/>
      <c r="N9" s="253"/>
      <c r="O9" s="253"/>
      <c r="P9" s="253"/>
      <c r="Q9" s="253"/>
      <c r="R9" s="253"/>
      <c r="S9" s="253"/>
      <c r="T9" s="253"/>
      <c r="U9" s="253"/>
      <c r="V9" s="253"/>
      <c r="W9" s="253"/>
    </row>
    <row r="10" spans="1:23" ht="13.95" customHeight="1" x14ac:dyDescent="0.3">
      <c r="A10" s="200" t="s">
        <v>120</v>
      </c>
      <c r="B10" s="201" t="s">
        <v>121</v>
      </c>
      <c r="C10" s="201"/>
      <c r="D10" s="201"/>
      <c r="E10" s="202"/>
      <c r="F10" s="202" t="s">
        <v>2</v>
      </c>
      <c r="G10" s="233" t="str">
        <f>DATA!D2</f>
        <v>23.1.1.0.8</v>
      </c>
      <c r="H10" s="233"/>
      <c r="I10" s="233"/>
      <c r="J10" s="233"/>
      <c r="K10" s="233"/>
      <c r="L10" s="233"/>
      <c r="M10" s="233"/>
      <c r="N10" s="233"/>
      <c r="O10" s="233"/>
      <c r="P10" s="233"/>
      <c r="Q10" s="233"/>
      <c r="R10" s="233"/>
      <c r="S10" s="233"/>
      <c r="T10" s="233"/>
      <c r="U10" s="233"/>
      <c r="V10" s="233"/>
      <c r="W10" s="233"/>
    </row>
    <row r="11" spans="1:23" ht="13.95" customHeight="1" x14ac:dyDescent="0.3">
      <c r="A11" s="200" t="s">
        <v>122</v>
      </c>
      <c r="B11" s="201" t="s">
        <v>123</v>
      </c>
      <c r="C11" s="201"/>
      <c r="D11" s="201"/>
      <c r="E11" s="202"/>
      <c r="F11" s="202" t="s">
        <v>2</v>
      </c>
      <c r="G11" s="203"/>
      <c r="H11" s="203"/>
      <c r="I11" s="203"/>
      <c r="J11" s="203"/>
      <c r="K11" s="203"/>
      <c r="L11" s="203"/>
      <c r="M11" s="203"/>
      <c r="N11" s="203"/>
      <c r="O11" s="203"/>
      <c r="P11" s="203"/>
      <c r="Q11" s="203"/>
      <c r="R11" s="203"/>
      <c r="S11" s="203"/>
      <c r="T11" s="203"/>
      <c r="U11" s="203"/>
      <c r="V11" s="203"/>
      <c r="W11" s="203"/>
    </row>
    <row r="12" spans="1:23" ht="31.2" customHeight="1" x14ac:dyDescent="0.3">
      <c r="A12" s="204"/>
      <c r="B12" s="256" t="s">
        <v>124</v>
      </c>
      <c r="C12" s="256"/>
      <c r="D12" s="256"/>
      <c r="E12" s="256"/>
      <c r="F12" s="202" t="s">
        <v>2</v>
      </c>
      <c r="G12" s="233" t="str">
        <f>DATA!D6</f>
        <v>Dinas Penanaman Modal dan Pelayanan Terpadu Satu Pintu</v>
      </c>
      <c r="H12" s="233"/>
      <c r="I12" s="233"/>
      <c r="J12" s="233"/>
      <c r="K12" s="233"/>
      <c r="L12" s="233"/>
      <c r="M12" s="233"/>
      <c r="N12" s="233"/>
      <c r="O12" s="233"/>
      <c r="P12" s="233"/>
      <c r="Q12" s="233"/>
      <c r="R12" s="233"/>
      <c r="S12" s="233"/>
      <c r="T12" s="233"/>
      <c r="U12" s="233"/>
      <c r="V12" s="233"/>
      <c r="W12" s="233"/>
    </row>
    <row r="13" spans="1:23" ht="13.95" customHeight="1" x14ac:dyDescent="0.3">
      <c r="A13" s="204"/>
      <c r="B13" s="202" t="s">
        <v>125</v>
      </c>
      <c r="C13" s="202"/>
      <c r="D13" s="202"/>
      <c r="E13" s="202"/>
      <c r="F13" s="202" t="s">
        <v>2</v>
      </c>
      <c r="G13" s="233" t="str">
        <f>DATA!D5</f>
        <v>Sekretariat Dinas Penanaman Modal dan Pelayanan Terpadu Satu Pintu</v>
      </c>
      <c r="H13" s="233"/>
      <c r="I13" s="233"/>
      <c r="J13" s="233"/>
      <c r="K13" s="233"/>
      <c r="L13" s="233"/>
      <c r="M13" s="233"/>
      <c r="N13" s="233"/>
      <c r="O13" s="233"/>
      <c r="P13" s="233"/>
      <c r="Q13" s="233"/>
      <c r="R13" s="233"/>
      <c r="S13" s="233"/>
      <c r="T13" s="233"/>
      <c r="U13" s="233"/>
      <c r="V13" s="233"/>
      <c r="W13" s="233"/>
    </row>
    <row r="14" spans="1:23" ht="13.95" customHeight="1" x14ac:dyDescent="0.3">
      <c r="A14" s="204"/>
      <c r="B14" s="202" t="s">
        <v>126</v>
      </c>
      <c r="C14" s="202"/>
      <c r="D14" s="202"/>
      <c r="E14" s="202"/>
      <c r="F14" s="202" t="s">
        <v>2</v>
      </c>
      <c r="G14" s="254" t="str">
        <f>DATA!D4</f>
        <v>-</v>
      </c>
      <c r="H14" s="254"/>
      <c r="I14" s="254"/>
      <c r="J14" s="254"/>
      <c r="K14" s="254"/>
      <c r="L14" s="254"/>
      <c r="M14" s="254"/>
      <c r="N14" s="254"/>
      <c r="O14" s="254"/>
      <c r="P14" s="254"/>
      <c r="Q14" s="254"/>
      <c r="R14" s="254"/>
      <c r="S14" s="254"/>
      <c r="T14" s="254"/>
      <c r="U14" s="254"/>
      <c r="V14" s="254"/>
      <c r="W14" s="254"/>
    </row>
    <row r="15" spans="1:23" x14ac:dyDescent="0.3">
      <c r="A15" s="200" t="s">
        <v>127</v>
      </c>
      <c r="B15" s="201" t="s">
        <v>128</v>
      </c>
      <c r="C15" s="201"/>
      <c r="D15" s="201"/>
      <c r="E15" s="201"/>
      <c r="F15" s="201"/>
      <c r="G15" s="201"/>
      <c r="H15" s="201"/>
      <c r="I15" s="202"/>
      <c r="J15" s="202"/>
      <c r="K15" s="202" t="s">
        <v>2</v>
      </c>
      <c r="L15" s="202"/>
      <c r="M15" s="202"/>
      <c r="N15" s="202"/>
      <c r="O15" s="202"/>
      <c r="P15" s="202"/>
      <c r="Q15" s="202"/>
      <c r="R15" s="202"/>
      <c r="S15" s="202"/>
      <c r="T15" s="202"/>
      <c r="U15" s="202"/>
      <c r="V15" s="202"/>
      <c r="W15" s="202"/>
    </row>
    <row r="16" spans="1:23" ht="13.8" customHeight="1" x14ac:dyDescent="0.3">
      <c r="A16" s="172"/>
      <c r="B16" s="171"/>
      <c r="C16" s="171"/>
      <c r="D16" s="171"/>
      <c r="E16" s="171"/>
      <c r="F16" s="171"/>
      <c r="G16" s="171"/>
      <c r="H16" s="171"/>
      <c r="I16" s="171"/>
      <c r="J16" s="171"/>
      <c r="K16" s="171"/>
      <c r="L16" s="171"/>
      <c r="M16" s="171"/>
      <c r="N16" s="171"/>
      <c r="O16" s="171"/>
      <c r="P16" s="171"/>
      <c r="Q16" s="171"/>
      <c r="R16" s="171"/>
      <c r="S16" s="171"/>
      <c r="T16" s="171"/>
      <c r="U16" s="171"/>
      <c r="V16" s="171"/>
      <c r="W16" s="171"/>
    </row>
    <row r="17" spans="1:23" x14ac:dyDescent="0.3">
      <c r="A17" s="172"/>
      <c r="B17" s="171"/>
      <c r="C17" s="171"/>
      <c r="D17" s="171"/>
      <c r="E17" s="171"/>
      <c r="F17" s="171"/>
      <c r="G17" s="235" t="str">
        <f>DATA!D8</f>
        <v>Kepala Dinas Penanaman Modal dan Pelayanan Terpadu Satu Pintu</v>
      </c>
      <c r="H17" s="236"/>
      <c r="I17" s="236"/>
      <c r="J17" s="236"/>
      <c r="K17" s="236"/>
      <c r="L17" s="236"/>
      <c r="M17" s="236"/>
      <c r="N17" s="237"/>
      <c r="O17" s="171"/>
      <c r="P17" s="171"/>
      <c r="Q17" s="171"/>
      <c r="R17" s="171"/>
      <c r="S17" s="171"/>
      <c r="T17" s="171"/>
      <c r="U17" s="171"/>
      <c r="V17" s="171"/>
      <c r="W17" s="171"/>
    </row>
    <row r="18" spans="1:23" x14ac:dyDescent="0.3">
      <c r="A18" s="172"/>
      <c r="B18" s="171"/>
      <c r="C18" s="171"/>
      <c r="D18" s="171"/>
      <c r="E18" s="171"/>
      <c r="F18" s="171"/>
      <c r="G18" s="238"/>
      <c r="H18" s="239"/>
      <c r="I18" s="239"/>
      <c r="J18" s="239"/>
      <c r="K18" s="239"/>
      <c r="L18" s="239"/>
      <c r="M18" s="239"/>
      <c r="N18" s="240"/>
      <c r="O18" s="171"/>
      <c r="P18" s="171"/>
      <c r="Q18" s="171"/>
      <c r="R18" s="171"/>
      <c r="S18" s="171"/>
      <c r="T18" s="171"/>
      <c r="U18" s="171"/>
      <c r="V18" s="171"/>
      <c r="W18" s="171"/>
    </row>
    <row r="19" spans="1:23" x14ac:dyDescent="0.3">
      <c r="A19" s="172"/>
      <c r="B19" s="171"/>
      <c r="C19" s="171"/>
      <c r="D19" s="171"/>
      <c r="E19" s="171"/>
      <c r="F19" s="171"/>
      <c r="G19" s="238"/>
      <c r="H19" s="239"/>
      <c r="I19" s="239"/>
      <c r="J19" s="239"/>
      <c r="K19" s="239"/>
      <c r="L19" s="239"/>
      <c r="M19" s="239"/>
      <c r="N19" s="240"/>
      <c r="O19" s="171"/>
      <c r="P19" s="171"/>
      <c r="Q19" s="171"/>
      <c r="R19" s="171"/>
      <c r="S19" s="171"/>
      <c r="T19" s="171"/>
      <c r="U19" s="171"/>
      <c r="V19" s="171"/>
      <c r="W19" s="171"/>
    </row>
    <row r="20" spans="1:23" ht="13.8" customHeight="1" x14ac:dyDescent="0.3">
      <c r="A20" s="172"/>
      <c r="B20" s="171"/>
      <c r="C20" s="171"/>
      <c r="D20" s="171"/>
      <c r="E20" s="171"/>
      <c r="F20" s="171"/>
      <c r="G20" s="241"/>
      <c r="H20" s="242"/>
      <c r="I20" s="242"/>
      <c r="J20" s="242"/>
      <c r="K20" s="242"/>
      <c r="L20" s="242"/>
      <c r="M20" s="242"/>
      <c r="N20" s="243"/>
      <c r="O20" s="171"/>
      <c r="P20" s="171"/>
      <c r="Q20" s="171"/>
      <c r="R20" s="171"/>
      <c r="S20" s="171"/>
      <c r="T20" s="171"/>
      <c r="U20" s="171"/>
      <c r="V20" s="171"/>
      <c r="W20" s="171"/>
    </row>
    <row r="21" spans="1:23" ht="13.8" customHeight="1" x14ac:dyDescent="0.3">
      <c r="A21" s="172"/>
      <c r="B21" s="171"/>
      <c r="C21" s="171"/>
      <c r="D21" s="171"/>
      <c r="E21" s="171"/>
      <c r="F21" s="171"/>
      <c r="G21" s="171"/>
      <c r="H21" s="171"/>
      <c r="I21" s="171"/>
      <c r="J21" s="171"/>
      <c r="K21" s="206"/>
      <c r="L21" s="171"/>
      <c r="M21" s="171"/>
      <c r="N21" s="171"/>
      <c r="O21" s="171"/>
      <c r="P21" s="171"/>
      <c r="Q21" s="171"/>
      <c r="R21" s="171"/>
      <c r="S21" s="171"/>
      <c r="T21" s="171"/>
      <c r="U21" s="171"/>
      <c r="V21" s="171"/>
      <c r="W21" s="171"/>
    </row>
    <row r="22" spans="1:23" x14ac:dyDescent="0.3">
      <c r="A22" s="172"/>
      <c r="B22" s="171"/>
      <c r="C22" s="171"/>
      <c r="D22" s="171"/>
      <c r="E22" s="171"/>
      <c r="F22" s="171"/>
      <c r="G22" s="235" t="str">
        <f>DATA!D7</f>
        <v>Sekretaris Dinas Penanaman Modal dan Pelayanan Terpadu Satu Pintu</v>
      </c>
      <c r="H22" s="236"/>
      <c r="I22" s="236"/>
      <c r="J22" s="236"/>
      <c r="K22" s="236"/>
      <c r="L22" s="236"/>
      <c r="M22" s="236"/>
      <c r="N22" s="237"/>
      <c r="O22" s="171"/>
      <c r="P22" s="171"/>
      <c r="Q22" s="171"/>
      <c r="R22" s="171"/>
      <c r="S22" s="171"/>
      <c r="T22" s="171"/>
      <c r="U22" s="171"/>
      <c r="V22" s="171"/>
      <c r="W22" s="171"/>
    </row>
    <row r="23" spans="1:23" ht="15" customHeight="1" x14ac:dyDescent="0.3">
      <c r="A23" s="172"/>
      <c r="B23" s="171"/>
      <c r="C23" s="171"/>
      <c r="D23" s="171"/>
      <c r="E23" s="171"/>
      <c r="F23" s="171"/>
      <c r="G23" s="238"/>
      <c r="H23" s="239"/>
      <c r="I23" s="239"/>
      <c r="J23" s="239"/>
      <c r="K23" s="239"/>
      <c r="L23" s="239"/>
      <c r="M23" s="239"/>
      <c r="N23" s="240"/>
      <c r="O23" s="171"/>
      <c r="P23" s="171"/>
      <c r="Q23" s="171"/>
      <c r="R23" s="171"/>
      <c r="S23" s="171"/>
      <c r="T23" s="171"/>
      <c r="U23" s="171"/>
      <c r="V23" s="171"/>
      <c r="W23" s="171"/>
    </row>
    <row r="24" spans="1:23" x14ac:dyDescent="0.3">
      <c r="A24" s="172"/>
      <c r="B24" s="171"/>
      <c r="C24" s="171"/>
      <c r="D24" s="171"/>
      <c r="E24" s="171"/>
      <c r="F24" s="171"/>
      <c r="G24" s="238"/>
      <c r="H24" s="239"/>
      <c r="I24" s="239"/>
      <c r="J24" s="239"/>
      <c r="K24" s="239"/>
      <c r="L24" s="239"/>
      <c r="M24" s="239"/>
      <c r="N24" s="240"/>
      <c r="O24" s="171"/>
      <c r="P24" s="171"/>
      <c r="Q24" s="171"/>
      <c r="R24" s="171"/>
      <c r="S24" s="171"/>
      <c r="T24" s="171"/>
      <c r="U24" s="171"/>
      <c r="V24" s="171"/>
      <c r="W24" s="171"/>
    </row>
    <row r="25" spans="1:23" ht="13.8" customHeight="1" x14ac:dyDescent="0.3">
      <c r="A25" s="172"/>
      <c r="B25" s="171"/>
      <c r="C25" s="171"/>
      <c r="D25" s="171"/>
      <c r="E25" s="171"/>
      <c r="F25" s="171"/>
      <c r="G25" s="241"/>
      <c r="H25" s="242"/>
      <c r="I25" s="242"/>
      <c r="J25" s="242"/>
      <c r="K25" s="242"/>
      <c r="L25" s="242"/>
      <c r="M25" s="242"/>
      <c r="N25" s="243"/>
      <c r="O25" s="171"/>
      <c r="P25" s="171"/>
      <c r="Q25" s="171"/>
      <c r="R25" s="171"/>
      <c r="S25" s="171"/>
      <c r="T25" s="171"/>
      <c r="U25" s="171"/>
      <c r="V25" s="171"/>
      <c r="W25" s="171"/>
    </row>
    <row r="26" spans="1:23" ht="13.8" customHeight="1" x14ac:dyDescent="0.3">
      <c r="A26" s="172"/>
      <c r="B26" s="171"/>
      <c r="C26" s="171"/>
      <c r="D26" s="171"/>
      <c r="E26" s="171"/>
      <c r="F26" s="171"/>
      <c r="G26" s="205"/>
      <c r="H26" s="205"/>
      <c r="I26" s="205"/>
      <c r="J26" s="205"/>
      <c r="K26" s="207"/>
      <c r="L26" s="205"/>
      <c r="M26" s="205"/>
      <c r="N26" s="205"/>
      <c r="O26" s="171"/>
      <c r="P26" s="171"/>
      <c r="Q26" s="171"/>
      <c r="R26" s="171"/>
      <c r="S26" s="171"/>
      <c r="T26" s="171"/>
      <c r="U26" s="171"/>
      <c r="V26" s="171"/>
      <c r="W26" s="171"/>
    </row>
    <row r="27" spans="1:23" x14ac:dyDescent="0.3">
      <c r="A27" s="172"/>
      <c r="B27" s="171"/>
      <c r="C27" s="171"/>
      <c r="D27" s="171"/>
      <c r="E27" s="171"/>
      <c r="F27" s="171"/>
      <c r="G27" s="244" t="str">
        <f>DATA!D3</f>
        <v>Pengadministrasi Perkantoran</v>
      </c>
      <c r="H27" s="245"/>
      <c r="I27" s="245"/>
      <c r="J27" s="245"/>
      <c r="K27" s="245"/>
      <c r="L27" s="245"/>
      <c r="M27" s="245"/>
      <c r="N27" s="246"/>
      <c r="O27" s="171"/>
      <c r="P27" s="171"/>
      <c r="Q27" s="171"/>
      <c r="R27" s="171"/>
      <c r="S27" s="171"/>
      <c r="T27" s="171"/>
      <c r="U27" s="171"/>
      <c r="V27" s="171"/>
      <c r="W27" s="171"/>
    </row>
    <row r="28" spans="1:23" x14ac:dyDescent="0.3">
      <c r="A28" s="172"/>
      <c r="B28" s="171"/>
      <c r="C28" s="171"/>
      <c r="D28" s="171"/>
      <c r="E28" s="171"/>
      <c r="F28" s="171"/>
      <c r="G28" s="247"/>
      <c r="H28" s="248"/>
      <c r="I28" s="248"/>
      <c r="J28" s="248"/>
      <c r="K28" s="248"/>
      <c r="L28" s="248"/>
      <c r="M28" s="248"/>
      <c r="N28" s="249"/>
      <c r="O28" s="171"/>
      <c r="P28" s="171"/>
      <c r="Q28" s="171"/>
      <c r="R28" s="171"/>
      <c r="S28" s="171"/>
      <c r="T28" s="171"/>
      <c r="U28" s="171"/>
      <c r="V28" s="171"/>
      <c r="W28" s="171"/>
    </row>
    <row r="29" spans="1:23" x14ac:dyDescent="0.3">
      <c r="A29" s="172"/>
      <c r="B29" s="171"/>
      <c r="C29" s="171"/>
      <c r="D29" s="171"/>
      <c r="E29" s="171"/>
      <c r="F29" s="171"/>
      <c r="G29" s="247"/>
      <c r="H29" s="248"/>
      <c r="I29" s="248"/>
      <c r="J29" s="248"/>
      <c r="K29" s="248"/>
      <c r="L29" s="248"/>
      <c r="M29" s="248"/>
      <c r="N29" s="249"/>
      <c r="O29" s="171"/>
      <c r="P29" s="171"/>
      <c r="Q29" s="171"/>
      <c r="R29" s="171"/>
      <c r="S29" s="171"/>
      <c r="T29" s="171"/>
      <c r="U29" s="171"/>
      <c r="V29" s="171"/>
      <c r="W29" s="171"/>
    </row>
    <row r="30" spans="1:23" ht="13.8" customHeight="1" x14ac:dyDescent="0.3">
      <c r="A30" s="172"/>
      <c r="B30" s="171"/>
      <c r="C30" s="171"/>
      <c r="D30" s="171"/>
      <c r="E30" s="171"/>
      <c r="F30" s="171"/>
      <c r="G30" s="250"/>
      <c r="H30" s="251"/>
      <c r="I30" s="251"/>
      <c r="J30" s="251"/>
      <c r="K30" s="251"/>
      <c r="L30" s="251"/>
      <c r="M30" s="251"/>
      <c r="N30" s="252"/>
      <c r="O30" s="171"/>
      <c r="P30" s="171"/>
      <c r="Q30" s="171"/>
      <c r="R30" s="171"/>
      <c r="S30" s="171"/>
      <c r="T30" s="171"/>
      <c r="U30" s="171"/>
      <c r="V30" s="171"/>
      <c r="W30" s="171"/>
    </row>
    <row r="31" spans="1:23" x14ac:dyDescent="0.3">
      <c r="A31" s="172"/>
      <c r="B31" s="171"/>
      <c r="C31" s="171"/>
      <c r="D31" s="171"/>
      <c r="E31" s="171"/>
      <c r="F31" s="171"/>
      <c r="G31" s="171"/>
      <c r="H31" s="171"/>
      <c r="I31" s="171"/>
      <c r="J31" s="171"/>
      <c r="K31" s="171"/>
      <c r="L31" s="171"/>
      <c r="M31" s="171"/>
      <c r="N31" s="171"/>
      <c r="O31" s="171"/>
      <c r="P31" s="171"/>
      <c r="Q31" s="171"/>
      <c r="R31" s="171"/>
      <c r="S31" s="171"/>
      <c r="T31" s="171"/>
      <c r="U31" s="171"/>
      <c r="V31" s="171"/>
      <c r="W31" s="171"/>
    </row>
    <row r="32" spans="1:23" x14ac:dyDescent="0.3">
      <c r="A32" s="199" t="s">
        <v>129</v>
      </c>
      <c r="B32" s="208" t="s">
        <v>130</v>
      </c>
      <c r="C32" s="208"/>
      <c r="D32" s="171"/>
      <c r="E32" s="171"/>
      <c r="F32" s="171" t="s">
        <v>2</v>
      </c>
      <c r="G32" s="171"/>
      <c r="H32" s="171"/>
      <c r="I32" s="171"/>
      <c r="J32" s="171"/>
      <c r="K32" s="171"/>
      <c r="L32" s="171"/>
      <c r="M32" s="171"/>
      <c r="N32" s="171"/>
      <c r="O32" s="171"/>
      <c r="P32" s="171"/>
      <c r="Q32" s="171"/>
      <c r="R32" s="171"/>
      <c r="S32" s="171"/>
      <c r="T32" s="171"/>
      <c r="U32" s="171"/>
      <c r="V32" s="171"/>
      <c r="W32" s="171"/>
    </row>
    <row r="33" spans="1:24" ht="36" customHeight="1" x14ac:dyDescent="0.3">
      <c r="A33" s="172"/>
      <c r="B33" s="233" t="str">
        <f>DATA!D12&amp;"."</f>
        <v>Melaksanakan kegiatan dukungan administrasi perkantoran, pemerintahan, dan pelayanan publik dalam lingkup tugas perencanaan, evaluasi, dan pelaporan.</v>
      </c>
      <c r="C33" s="233"/>
      <c r="D33" s="233"/>
      <c r="E33" s="233"/>
      <c r="F33" s="233"/>
      <c r="G33" s="233"/>
      <c r="H33" s="233"/>
      <c r="I33" s="233"/>
      <c r="J33" s="233"/>
      <c r="K33" s="233"/>
      <c r="L33" s="233"/>
      <c r="M33" s="233"/>
      <c r="N33" s="233"/>
      <c r="O33" s="233"/>
      <c r="P33" s="233"/>
      <c r="Q33" s="233"/>
      <c r="R33" s="233"/>
      <c r="S33" s="233"/>
      <c r="T33" s="233"/>
      <c r="U33" s="233"/>
      <c r="V33" s="233"/>
      <c r="W33" s="233"/>
    </row>
    <row r="34" spans="1:24" x14ac:dyDescent="0.3">
      <c r="A34" s="199" t="s">
        <v>131</v>
      </c>
      <c r="B34" s="208" t="s">
        <v>132</v>
      </c>
      <c r="C34" s="208"/>
      <c r="D34" s="171"/>
      <c r="E34" s="171"/>
      <c r="F34" s="171" t="s">
        <v>2</v>
      </c>
      <c r="G34" s="171"/>
      <c r="H34" s="171"/>
      <c r="I34" s="171"/>
      <c r="J34" s="171"/>
      <c r="K34" s="171"/>
      <c r="L34" s="171"/>
      <c r="M34" s="171"/>
      <c r="N34" s="171"/>
      <c r="O34" s="171"/>
      <c r="P34" s="171"/>
      <c r="Q34" s="171"/>
      <c r="R34" s="171"/>
      <c r="S34" s="171"/>
      <c r="T34" s="171"/>
      <c r="U34" s="171"/>
      <c r="V34" s="171"/>
      <c r="W34" s="171"/>
    </row>
    <row r="35" spans="1:24" ht="28.2" customHeight="1" x14ac:dyDescent="0.3">
      <c r="A35" s="172"/>
      <c r="B35" s="204" t="s">
        <v>133</v>
      </c>
      <c r="C35" s="233" t="str">
        <f>DATA!D34</f>
        <v>Melakukan penatausahaan surat dan dokumen yang meliputi penerimaan, penelitian, verifikasi, pencatatan, dan distribusi surat dan dokumen dalam lingkup tugas perencanaan, evaluasi, dan pelaporan</v>
      </c>
      <c r="D35" s="233"/>
      <c r="E35" s="233"/>
      <c r="F35" s="233"/>
      <c r="G35" s="233"/>
      <c r="H35" s="233"/>
      <c r="I35" s="233"/>
      <c r="J35" s="233"/>
      <c r="K35" s="233"/>
      <c r="L35" s="233"/>
      <c r="M35" s="233"/>
      <c r="N35" s="233"/>
      <c r="O35" s="233"/>
      <c r="P35" s="233"/>
      <c r="Q35" s="233"/>
      <c r="R35" s="233"/>
      <c r="S35" s="233"/>
      <c r="T35" s="233"/>
      <c r="U35" s="233"/>
      <c r="V35" s="233"/>
      <c r="W35" s="233"/>
    </row>
    <row r="36" spans="1:24" ht="28.2" customHeight="1" x14ac:dyDescent="0.3">
      <c r="A36" s="172"/>
      <c r="B36" s="204" t="s">
        <v>134</v>
      </c>
      <c r="C36" s="233" t="str">
        <f>DATA!D35</f>
        <v>Menyusun dan menyediakan surat dan dokumen sesuai tata naskah dinas yang berlaku dalam lingkup tugas perencanaan, evaluasi, dan pelaporan</v>
      </c>
      <c r="D36" s="233"/>
      <c r="E36" s="233"/>
      <c r="F36" s="233"/>
      <c r="G36" s="233"/>
      <c r="H36" s="233"/>
      <c r="I36" s="233"/>
      <c r="J36" s="233"/>
      <c r="K36" s="233"/>
      <c r="L36" s="233"/>
      <c r="M36" s="233"/>
      <c r="N36" s="233"/>
      <c r="O36" s="233"/>
      <c r="P36" s="233"/>
      <c r="Q36" s="233"/>
      <c r="R36" s="233"/>
      <c r="S36" s="233"/>
      <c r="T36" s="233"/>
      <c r="U36" s="233"/>
      <c r="V36" s="233"/>
      <c r="W36" s="233"/>
    </row>
    <row r="37" spans="1:24" ht="28.2" customHeight="1" x14ac:dyDescent="0.3">
      <c r="A37" s="172"/>
      <c r="B37" s="204" t="s">
        <v>135</v>
      </c>
      <c r="C37" s="233" t="str">
        <f>DATA!D36</f>
        <v>Melakukan penyimpanan dan pengarsipan sesuai dengan tata kelola arsip terhadap surat dan dokumen dalam lingkup tugas perencanaan, evaluasi, dan pelaporan</v>
      </c>
      <c r="D37" s="233"/>
      <c r="E37" s="233"/>
      <c r="F37" s="233"/>
      <c r="G37" s="233"/>
      <c r="H37" s="233"/>
      <c r="I37" s="233"/>
      <c r="J37" s="233"/>
      <c r="K37" s="233"/>
      <c r="L37" s="233"/>
      <c r="M37" s="233"/>
      <c r="N37" s="233"/>
      <c r="O37" s="233"/>
      <c r="P37" s="233"/>
      <c r="Q37" s="233"/>
      <c r="R37" s="233"/>
      <c r="S37" s="233"/>
      <c r="T37" s="233"/>
      <c r="U37" s="233"/>
      <c r="V37" s="233"/>
      <c r="W37" s="233"/>
    </row>
    <row r="38" spans="1:24" ht="28.2" customHeight="1" x14ac:dyDescent="0.3">
      <c r="A38" s="172"/>
      <c r="B38" s="204" t="s">
        <v>136</v>
      </c>
      <c r="C38" s="233" t="str">
        <f>DATA!D37</f>
        <v>Melakukan kegiatan pelayanan publik dalam lingkup tugas perencanaan, evaluasi, dan pelaporan</v>
      </c>
      <c r="D38" s="233"/>
      <c r="E38" s="233"/>
      <c r="F38" s="233"/>
      <c r="G38" s="233"/>
      <c r="H38" s="233"/>
      <c r="I38" s="233"/>
      <c r="J38" s="233"/>
      <c r="K38" s="233"/>
      <c r="L38" s="233"/>
      <c r="M38" s="233"/>
      <c r="N38" s="233"/>
      <c r="O38" s="233"/>
      <c r="P38" s="233"/>
      <c r="Q38" s="233"/>
      <c r="R38" s="233"/>
      <c r="S38" s="233"/>
      <c r="T38" s="233"/>
      <c r="U38" s="233"/>
      <c r="V38" s="233"/>
      <c r="W38" s="233"/>
      <c r="X38" s="97"/>
    </row>
    <row r="39" spans="1:24" ht="28.2" customHeight="1" x14ac:dyDescent="0.3">
      <c r="A39" s="172"/>
      <c r="B39" s="204" t="s">
        <v>137</v>
      </c>
      <c r="C39" s="233" t="str">
        <f>DATA!D38</f>
        <v>Melaksanakan pemberian dukungan teknis terhadap pelaksanaan tugas dan fungsi unit organisasi berupa penyiapan dan penyusunan dokumen, data, bahan, dan perlengkapan kegiatan dalam rangka pencapaian target kinerja organisasi.</v>
      </c>
      <c r="D39" s="233"/>
      <c r="E39" s="233"/>
      <c r="F39" s="233"/>
      <c r="G39" s="233"/>
      <c r="H39" s="233"/>
      <c r="I39" s="233"/>
      <c r="J39" s="233"/>
      <c r="K39" s="233"/>
      <c r="L39" s="233"/>
      <c r="M39" s="233"/>
      <c r="N39" s="233"/>
      <c r="O39" s="233"/>
      <c r="P39" s="233"/>
      <c r="Q39" s="233"/>
      <c r="R39" s="233"/>
      <c r="S39" s="233"/>
      <c r="T39" s="233"/>
      <c r="U39" s="233"/>
      <c r="V39" s="233"/>
      <c r="W39" s="233"/>
      <c r="X39" s="97"/>
    </row>
    <row r="40" spans="1:24" ht="28.2" customHeight="1" x14ac:dyDescent="0.3">
      <c r="A40" s="172"/>
      <c r="B40" s="204" t="s">
        <v>138</v>
      </c>
      <c r="C40" s="233" t="str">
        <f>DATA!D39</f>
        <v>Menyusun laporan pelaksanaan tugas dan menyampaikan kepada pimpinan sebagai wujud akuntabilitas dan pertanggungjawaban pelaksanaan tugas.</v>
      </c>
      <c r="D40" s="233"/>
      <c r="E40" s="233"/>
      <c r="F40" s="233"/>
      <c r="G40" s="233"/>
      <c r="H40" s="233"/>
      <c r="I40" s="233"/>
      <c r="J40" s="233"/>
      <c r="K40" s="233"/>
      <c r="L40" s="233"/>
      <c r="M40" s="233"/>
      <c r="N40" s="233"/>
      <c r="O40" s="233"/>
      <c r="P40" s="233"/>
      <c r="Q40" s="233"/>
      <c r="R40" s="233"/>
      <c r="S40" s="233"/>
      <c r="T40" s="233"/>
      <c r="U40" s="233"/>
      <c r="V40" s="233"/>
      <c r="W40" s="233"/>
    </row>
    <row r="41" spans="1:24" ht="28.2" customHeight="1" x14ac:dyDescent="0.3">
      <c r="A41" s="172"/>
      <c r="B41" s="204" t="s">
        <v>139</v>
      </c>
      <c r="C41" s="233" t="str">
        <f>DATA!D40</f>
        <v>Melaksanakan tugas kedinasan lain yang diberikan oleh pimpinan, baik lisan maupun tertulis sebagai wujud loyalitas dan kerjasama yang baik.</v>
      </c>
      <c r="D41" s="233"/>
      <c r="E41" s="233"/>
      <c r="F41" s="233"/>
      <c r="G41" s="233"/>
      <c r="H41" s="233"/>
      <c r="I41" s="233"/>
      <c r="J41" s="233"/>
      <c r="K41" s="233"/>
      <c r="L41" s="233"/>
      <c r="M41" s="233"/>
      <c r="N41" s="233"/>
      <c r="O41" s="233"/>
      <c r="P41" s="233"/>
      <c r="Q41" s="233"/>
      <c r="R41" s="233"/>
      <c r="S41" s="233"/>
      <c r="T41" s="233"/>
      <c r="U41" s="233"/>
      <c r="V41" s="233"/>
      <c r="W41" s="233"/>
    </row>
    <row r="42" spans="1:24" ht="33" hidden="1" customHeight="1" x14ac:dyDescent="0.3">
      <c r="A42" s="172"/>
      <c r="B42" s="202"/>
      <c r="C42" s="233">
        <f>Y42</f>
        <v>0</v>
      </c>
      <c r="D42" s="233"/>
      <c r="E42" s="233"/>
      <c r="F42" s="233"/>
      <c r="G42" s="233"/>
      <c r="H42" s="233"/>
      <c r="I42" s="233"/>
      <c r="J42" s="233"/>
      <c r="K42" s="233"/>
      <c r="L42" s="233"/>
      <c r="M42" s="233"/>
      <c r="N42" s="233"/>
      <c r="O42" s="233"/>
      <c r="P42" s="233"/>
      <c r="Q42" s="233"/>
      <c r="R42" s="233"/>
      <c r="S42" s="233"/>
      <c r="T42" s="233"/>
      <c r="U42" s="233"/>
      <c r="V42" s="233"/>
      <c r="W42" s="233"/>
    </row>
    <row r="43" spans="1:24" x14ac:dyDescent="0.3">
      <c r="A43" s="199" t="s">
        <v>140</v>
      </c>
      <c r="B43" s="208" t="s">
        <v>141</v>
      </c>
      <c r="C43" s="171"/>
      <c r="D43" s="171"/>
      <c r="E43" s="171" t="s">
        <v>2</v>
      </c>
      <c r="F43" s="171"/>
      <c r="G43" s="171"/>
      <c r="H43" s="171"/>
      <c r="I43" s="171"/>
      <c r="J43" s="171"/>
      <c r="K43" s="171"/>
      <c r="L43" s="171"/>
      <c r="M43" s="171"/>
      <c r="N43" s="171"/>
      <c r="O43" s="171"/>
      <c r="P43" s="171"/>
      <c r="Q43" s="171"/>
      <c r="R43" s="171"/>
      <c r="S43" s="171"/>
      <c r="T43" s="171"/>
      <c r="U43" s="171"/>
      <c r="V43" s="171"/>
      <c r="W43" s="171"/>
    </row>
    <row r="44" spans="1:24" ht="9" customHeight="1" x14ac:dyDescent="0.3">
      <c r="A44" s="199"/>
      <c r="B44" s="208"/>
      <c r="C44" s="171"/>
      <c r="D44" s="171"/>
      <c r="E44" s="171"/>
      <c r="F44" s="171"/>
      <c r="G44" s="171"/>
      <c r="H44" s="171"/>
      <c r="I44" s="171"/>
      <c r="J44" s="171"/>
      <c r="K44" s="171"/>
      <c r="L44" s="171"/>
      <c r="M44" s="171"/>
      <c r="N44" s="171"/>
      <c r="O44" s="171"/>
      <c r="P44" s="171"/>
      <c r="Q44" s="171"/>
      <c r="R44" s="171"/>
      <c r="S44" s="171"/>
      <c r="T44" s="171"/>
      <c r="U44" s="171"/>
      <c r="V44" s="171"/>
      <c r="W44" s="171"/>
    </row>
    <row r="45" spans="1:24" x14ac:dyDescent="0.3">
      <c r="A45" s="209"/>
      <c r="B45" s="210" t="s">
        <v>142</v>
      </c>
      <c r="C45" s="258" t="s">
        <v>141</v>
      </c>
      <c r="D45" s="258"/>
      <c r="E45" s="258"/>
      <c r="F45" s="258"/>
      <c r="G45" s="258"/>
      <c r="H45" s="258"/>
      <c r="I45" s="258"/>
      <c r="J45" s="258"/>
      <c r="K45" s="258"/>
      <c r="L45" s="258"/>
      <c r="M45" s="258"/>
      <c r="N45" s="258" t="s">
        <v>143</v>
      </c>
      <c r="O45" s="258"/>
      <c r="P45" s="258"/>
      <c r="Q45" s="258"/>
      <c r="R45" s="258"/>
      <c r="S45" s="258"/>
      <c r="T45" s="258"/>
      <c r="U45" s="258"/>
      <c r="V45" s="258"/>
      <c r="W45" s="258"/>
    </row>
    <row r="46" spans="1:24" x14ac:dyDescent="0.3">
      <c r="A46" s="199"/>
      <c r="B46" s="211">
        <v>1</v>
      </c>
      <c r="C46" s="259" t="s">
        <v>144</v>
      </c>
      <c r="D46" s="260"/>
      <c r="E46" s="260"/>
      <c r="F46" s="260"/>
      <c r="G46" s="260"/>
      <c r="H46" s="260"/>
      <c r="I46" s="260"/>
      <c r="J46" s="260"/>
      <c r="K46" s="260"/>
      <c r="L46" s="260"/>
      <c r="M46" s="261"/>
      <c r="N46" s="262" t="s">
        <v>145</v>
      </c>
      <c r="O46" s="262"/>
      <c r="P46" s="262"/>
      <c r="Q46" s="262"/>
      <c r="R46" s="262"/>
      <c r="S46" s="262"/>
      <c r="T46" s="262"/>
      <c r="U46" s="262"/>
      <c r="V46" s="262"/>
      <c r="W46" s="262"/>
    </row>
    <row r="47" spans="1:24" x14ac:dyDescent="0.3">
      <c r="A47" s="172"/>
      <c r="B47" s="211">
        <v>2</v>
      </c>
      <c r="C47" s="259" t="s">
        <v>146</v>
      </c>
      <c r="D47" s="260"/>
      <c r="E47" s="260"/>
      <c r="F47" s="260"/>
      <c r="G47" s="260"/>
      <c r="H47" s="260"/>
      <c r="I47" s="260"/>
      <c r="J47" s="260"/>
      <c r="K47" s="260"/>
      <c r="L47" s="260"/>
      <c r="M47" s="261"/>
      <c r="N47" s="262" t="s">
        <v>147</v>
      </c>
      <c r="O47" s="262"/>
      <c r="P47" s="262"/>
      <c r="Q47" s="262"/>
      <c r="R47" s="262"/>
      <c r="S47" s="262"/>
      <c r="T47" s="262"/>
      <c r="U47" s="262"/>
      <c r="V47" s="262"/>
      <c r="W47" s="262"/>
    </row>
    <row r="48" spans="1:24" ht="15" customHeight="1" x14ac:dyDescent="0.3">
      <c r="A48" s="172"/>
      <c r="B48" s="211">
        <v>3</v>
      </c>
      <c r="C48" s="262" t="s">
        <v>148</v>
      </c>
      <c r="D48" s="262"/>
      <c r="E48" s="262"/>
      <c r="F48" s="262"/>
      <c r="G48" s="262"/>
      <c r="H48" s="262"/>
      <c r="I48" s="262"/>
      <c r="J48" s="262"/>
      <c r="K48" s="262"/>
      <c r="L48" s="262"/>
      <c r="M48" s="262"/>
      <c r="N48" s="262" t="s">
        <v>149</v>
      </c>
      <c r="O48" s="262"/>
      <c r="P48" s="262"/>
      <c r="Q48" s="262"/>
      <c r="R48" s="262"/>
      <c r="S48" s="262"/>
      <c r="T48" s="262"/>
      <c r="U48" s="262"/>
      <c r="V48" s="262"/>
      <c r="W48" s="262"/>
    </row>
    <row r="49" spans="1:23" ht="15" customHeight="1" x14ac:dyDescent="0.3">
      <c r="A49" s="172"/>
      <c r="B49" s="211">
        <v>4</v>
      </c>
      <c r="C49" s="262" t="s">
        <v>150</v>
      </c>
      <c r="D49" s="262"/>
      <c r="E49" s="262"/>
      <c r="F49" s="262"/>
      <c r="G49" s="262"/>
      <c r="H49" s="262"/>
      <c r="I49" s="262"/>
      <c r="J49" s="262"/>
      <c r="K49" s="262"/>
      <c r="L49" s="262"/>
      <c r="M49" s="262"/>
      <c r="N49" s="262" t="s">
        <v>149</v>
      </c>
      <c r="O49" s="262"/>
      <c r="P49" s="262"/>
      <c r="Q49" s="262"/>
      <c r="R49" s="262"/>
      <c r="S49" s="262"/>
      <c r="T49" s="262"/>
      <c r="U49" s="262"/>
      <c r="V49" s="262"/>
      <c r="W49" s="262"/>
    </row>
    <row r="50" spans="1:23" ht="15" customHeight="1" x14ac:dyDescent="0.3">
      <c r="A50" s="172"/>
      <c r="B50" s="211">
        <v>5</v>
      </c>
      <c r="C50" s="262" t="s">
        <v>151</v>
      </c>
      <c r="D50" s="262"/>
      <c r="E50" s="262"/>
      <c r="F50" s="262"/>
      <c r="G50" s="262"/>
      <c r="H50" s="262"/>
      <c r="I50" s="262"/>
      <c r="J50" s="262"/>
      <c r="K50" s="262"/>
      <c r="L50" s="262"/>
      <c r="M50" s="262"/>
      <c r="N50" s="262" t="s">
        <v>149</v>
      </c>
      <c r="O50" s="262"/>
      <c r="P50" s="262"/>
      <c r="Q50" s="262"/>
      <c r="R50" s="262"/>
      <c r="S50" s="262"/>
      <c r="T50" s="262"/>
      <c r="U50" s="262"/>
      <c r="V50" s="262"/>
      <c r="W50" s="262"/>
    </row>
    <row r="51" spans="1:23" ht="15" customHeight="1" x14ac:dyDescent="0.3">
      <c r="A51" s="172"/>
      <c r="B51" s="211">
        <v>6</v>
      </c>
      <c r="C51" s="262" t="s">
        <v>152</v>
      </c>
      <c r="D51" s="262"/>
      <c r="E51" s="262"/>
      <c r="F51" s="262"/>
      <c r="G51" s="262"/>
      <c r="H51" s="262"/>
      <c r="I51" s="262"/>
      <c r="J51" s="262"/>
      <c r="K51" s="262"/>
      <c r="L51" s="262"/>
      <c r="M51" s="262"/>
      <c r="N51" s="262" t="s">
        <v>149</v>
      </c>
      <c r="O51" s="262"/>
      <c r="P51" s="262"/>
      <c r="Q51" s="262"/>
      <c r="R51" s="262"/>
      <c r="S51" s="262"/>
      <c r="T51" s="262"/>
      <c r="U51" s="262"/>
      <c r="V51" s="262"/>
      <c r="W51" s="262"/>
    </row>
    <row r="52" spans="1:23" ht="6.6" customHeight="1" x14ac:dyDescent="0.3">
      <c r="A52" s="172"/>
      <c r="B52" s="203"/>
      <c r="C52" s="202"/>
      <c r="D52" s="202"/>
      <c r="E52" s="202"/>
      <c r="F52" s="202"/>
      <c r="G52" s="202"/>
      <c r="H52" s="202"/>
      <c r="I52" s="202"/>
      <c r="J52" s="202"/>
      <c r="K52" s="202"/>
      <c r="L52" s="202"/>
      <c r="M52" s="202"/>
      <c r="N52" s="202"/>
      <c r="O52" s="202"/>
      <c r="P52" s="202"/>
      <c r="Q52" s="202"/>
      <c r="R52" s="202"/>
      <c r="S52" s="202"/>
      <c r="T52" s="202"/>
      <c r="U52" s="202"/>
      <c r="V52" s="202"/>
      <c r="W52" s="202"/>
    </row>
    <row r="53" spans="1:23" x14ac:dyDescent="0.3">
      <c r="A53" s="199" t="s">
        <v>153</v>
      </c>
      <c r="B53" s="208" t="s">
        <v>154</v>
      </c>
      <c r="C53" s="171"/>
      <c r="D53" s="171"/>
      <c r="E53" s="171"/>
      <c r="F53" s="171"/>
      <c r="G53" s="171" t="s">
        <v>2</v>
      </c>
      <c r="H53" s="171"/>
      <c r="I53" s="171"/>
      <c r="J53" s="171"/>
      <c r="K53" s="171"/>
      <c r="L53" s="171"/>
      <c r="M53" s="171"/>
      <c r="N53" s="171"/>
      <c r="O53" s="171"/>
      <c r="P53" s="171"/>
      <c r="Q53" s="171"/>
      <c r="R53" s="171"/>
      <c r="S53" s="171"/>
      <c r="T53" s="171"/>
      <c r="U53" s="171"/>
      <c r="V53" s="171"/>
      <c r="W53" s="171"/>
    </row>
    <row r="54" spans="1:23" ht="8.25" customHeight="1" x14ac:dyDescent="0.3">
      <c r="A54" s="172"/>
      <c r="B54" s="171"/>
      <c r="C54" s="171"/>
      <c r="D54" s="171"/>
      <c r="E54" s="171"/>
      <c r="F54" s="171"/>
      <c r="G54" s="171"/>
      <c r="H54" s="171"/>
      <c r="I54" s="171"/>
      <c r="J54" s="171"/>
      <c r="K54" s="171"/>
      <c r="L54" s="171"/>
      <c r="M54" s="171"/>
      <c r="N54" s="171"/>
      <c r="O54" s="171"/>
      <c r="P54" s="171"/>
      <c r="Q54" s="171"/>
      <c r="R54" s="171"/>
      <c r="S54" s="171"/>
      <c r="T54" s="171"/>
      <c r="U54" s="171"/>
      <c r="V54" s="171"/>
      <c r="W54" s="171"/>
    </row>
    <row r="55" spans="1:23" x14ac:dyDescent="0.3">
      <c r="A55" s="172"/>
      <c r="B55" s="210" t="s">
        <v>142</v>
      </c>
      <c r="C55" s="258" t="s">
        <v>154</v>
      </c>
      <c r="D55" s="258"/>
      <c r="E55" s="258"/>
      <c r="F55" s="258"/>
      <c r="G55" s="258"/>
      <c r="H55" s="258"/>
      <c r="I55" s="258"/>
      <c r="J55" s="258"/>
      <c r="K55" s="258"/>
      <c r="L55" s="258"/>
      <c r="M55" s="258"/>
      <c r="N55" s="258" t="s">
        <v>155</v>
      </c>
      <c r="O55" s="258"/>
      <c r="P55" s="258"/>
      <c r="Q55" s="258"/>
      <c r="R55" s="258"/>
      <c r="S55" s="258"/>
      <c r="T55" s="258"/>
      <c r="U55" s="258"/>
      <c r="V55" s="258"/>
      <c r="W55" s="258"/>
    </row>
    <row r="56" spans="1:23" x14ac:dyDescent="0.3">
      <c r="A56" s="172"/>
      <c r="B56" s="212">
        <v>1</v>
      </c>
      <c r="C56" s="257" t="s">
        <v>156</v>
      </c>
      <c r="D56" s="257"/>
      <c r="E56" s="257"/>
      <c r="F56" s="257"/>
      <c r="G56" s="257"/>
      <c r="H56" s="257"/>
      <c r="I56" s="257"/>
      <c r="J56" s="257"/>
      <c r="K56" s="257"/>
      <c r="L56" s="257"/>
      <c r="M56" s="257"/>
      <c r="N56" s="272" t="s">
        <v>157</v>
      </c>
      <c r="O56" s="272"/>
      <c r="P56" s="272"/>
      <c r="Q56" s="272"/>
      <c r="R56" s="272"/>
      <c r="S56" s="272"/>
      <c r="T56" s="272"/>
      <c r="U56" s="272"/>
      <c r="V56" s="272"/>
      <c r="W56" s="272"/>
    </row>
    <row r="57" spans="1:23" x14ac:dyDescent="0.3">
      <c r="A57" s="172"/>
      <c r="B57" s="212">
        <v>2</v>
      </c>
      <c r="C57" s="257" t="s">
        <v>158</v>
      </c>
      <c r="D57" s="257"/>
      <c r="E57" s="257"/>
      <c r="F57" s="257"/>
      <c r="G57" s="257"/>
      <c r="H57" s="257"/>
      <c r="I57" s="257"/>
      <c r="J57" s="257"/>
      <c r="K57" s="257"/>
      <c r="L57" s="257"/>
      <c r="M57" s="257"/>
      <c r="N57" s="272" t="s">
        <v>145</v>
      </c>
      <c r="O57" s="272"/>
      <c r="P57" s="272"/>
      <c r="Q57" s="272"/>
      <c r="R57" s="272"/>
      <c r="S57" s="272"/>
      <c r="T57" s="272"/>
      <c r="U57" s="272"/>
      <c r="V57" s="272"/>
      <c r="W57" s="272"/>
    </row>
    <row r="58" spans="1:23" x14ac:dyDescent="0.3">
      <c r="A58" s="172"/>
      <c r="B58" s="212">
        <v>3</v>
      </c>
      <c r="C58" s="257" t="s">
        <v>159</v>
      </c>
      <c r="D58" s="257"/>
      <c r="E58" s="257"/>
      <c r="F58" s="257"/>
      <c r="G58" s="257"/>
      <c r="H58" s="257"/>
      <c r="I58" s="257"/>
      <c r="J58" s="257"/>
      <c r="K58" s="257"/>
      <c r="L58" s="257"/>
      <c r="M58" s="257"/>
      <c r="N58" s="272" t="s">
        <v>145</v>
      </c>
      <c r="O58" s="272"/>
      <c r="P58" s="272"/>
      <c r="Q58" s="272"/>
      <c r="R58" s="272"/>
      <c r="S58" s="272"/>
      <c r="T58" s="272"/>
      <c r="U58" s="272"/>
      <c r="V58" s="272"/>
      <c r="W58" s="272"/>
    </row>
    <row r="59" spans="1:23" x14ac:dyDescent="0.3">
      <c r="A59" s="172"/>
      <c r="B59" s="212">
        <v>4</v>
      </c>
      <c r="C59" s="257" t="s">
        <v>160</v>
      </c>
      <c r="D59" s="257"/>
      <c r="E59" s="257"/>
      <c r="F59" s="257"/>
      <c r="G59" s="257"/>
      <c r="H59" s="257"/>
      <c r="I59" s="257"/>
      <c r="J59" s="257"/>
      <c r="K59" s="257"/>
      <c r="L59" s="257"/>
      <c r="M59" s="257"/>
      <c r="N59" s="272" t="s">
        <v>161</v>
      </c>
      <c r="O59" s="272"/>
      <c r="P59" s="272"/>
      <c r="Q59" s="272"/>
      <c r="R59" s="272"/>
      <c r="S59" s="272"/>
      <c r="T59" s="272"/>
      <c r="U59" s="272"/>
      <c r="V59" s="272"/>
      <c r="W59" s="272"/>
    </row>
    <row r="60" spans="1:23" ht="6.6" customHeight="1" x14ac:dyDescent="0.3">
      <c r="A60" s="172"/>
      <c r="B60" s="171"/>
      <c r="C60" s="171"/>
      <c r="D60" s="171"/>
      <c r="E60" s="171"/>
      <c r="F60" s="171"/>
      <c r="G60" s="171"/>
      <c r="H60" s="171"/>
      <c r="I60" s="171"/>
      <c r="J60" s="171"/>
      <c r="K60" s="171"/>
      <c r="L60" s="171"/>
      <c r="M60" s="171"/>
      <c r="N60" s="171"/>
      <c r="O60" s="171"/>
      <c r="P60" s="171"/>
      <c r="Q60" s="171"/>
      <c r="R60" s="171"/>
      <c r="S60" s="171"/>
      <c r="T60" s="171"/>
      <c r="U60" s="171"/>
      <c r="V60" s="171"/>
      <c r="W60" s="171"/>
    </row>
    <row r="61" spans="1:23" x14ac:dyDescent="0.3">
      <c r="A61" s="199" t="s">
        <v>162</v>
      </c>
      <c r="B61" s="208" t="s">
        <v>163</v>
      </c>
      <c r="C61" s="208"/>
      <c r="D61" s="208"/>
      <c r="E61" s="171" t="s">
        <v>2</v>
      </c>
      <c r="F61" s="171"/>
      <c r="G61" s="171"/>
      <c r="H61" s="171"/>
      <c r="I61" s="171"/>
      <c r="J61" s="171"/>
      <c r="K61" s="171"/>
      <c r="L61" s="171"/>
      <c r="M61" s="171"/>
      <c r="N61" s="171"/>
      <c r="O61" s="171"/>
      <c r="P61" s="171"/>
      <c r="Q61" s="171"/>
      <c r="R61" s="171"/>
      <c r="S61" s="171"/>
      <c r="T61" s="171"/>
      <c r="U61" s="171"/>
      <c r="V61" s="171"/>
      <c r="W61" s="171"/>
    </row>
    <row r="62" spans="1:23" ht="5.25" customHeight="1" x14ac:dyDescent="0.3">
      <c r="A62" s="172"/>
      <c r="B62" s="171"/>
      <c r="C62" s="171"/>
      <c r="D62" s="171"/>
      <c r="E62" s="171"/>
      <c r="F62" s="171"/>
      <c r="G62" s="171"/>
      <c r="H62" s="171"/>
      <c r="I62" s="171"/>
      <c r="J62" s="171"/>
      <c r="K62" s="171"/>
      <c r="L62" s="171"/>
      <c r="M62" s="171"/>
      <c r="N62" s="171"/>
      <c r="O62" s="171"/>
      <c r="P62" s="171"/>
      <c r="Q62" s="171"/>
      <c r="R62" s="171"/>
      <c r="S62" s="171"/>
      <c r="T62" s="171"/>
      <c r="U62" s="171"/>
      <c r="V62" s="171"/>
      <c r="W62" s="171"/>
    </row>
    <row r="63" spans="1:23" ht="15" customHeight="1" x14ac:dyDescent="0.3">
      <c r="A63" s="172"/>
      <c r="B63" s="268" t="s">
        <v>142</v>
      </c>
      <c r="C63" s="268" t="s">
        <v>163</v>
      </c>
      <c r="D63" s="268"/>
      <c r="E63" s="268"/>
      <c r="F63" s="268"/>
      <c r="G63" s="268"/>
      <c r="H63" s="268"/>
      <c r="I63" s="268"/>
      <c r="J63" s="268"/>
      <c r="K63" s="268"/>
      <c r="L63" s="268"/>
      <c r="M63" s="268"/>
      <c r="N63" s="268"/>
      <c r="O63" s="268"/>
      <c r="P63" s="268"/>
      <c r="Q63" s="269" t="s">
        <v>164</v>
      </c>
      <c r="R63" s="269"/>
      <c r="S63" s="269"/>
      <c r="T63" s="269" t="s">
        <v>165</v>
      </c>
      <c r="U63" s="269"/>
      <c r="V63" s="269"/>
      <c r="W63" s="269"/>
    </row>
    <row r="64" spans="1:23" x14ac:dyDescent="0.3">
      <c r="A64" s="172"/>
      <c r="B64" s="268"/>
      <c r="C64" s="268"/>
      <c r="D64" s="268"/>
      <c r="E64" s="268"/>
      <c r="F64" s="268"/>
      <c r="G64" s="268"/>
      <c r="H64" s="268"/>
      <c r="I64" s="268"/>
      <c r="J64" s="268"/>
      <c r="K64" s="268"/>
      <c r="L64" s="268"/>
      <c r="M64" s="268"/>
      <c r="N64" s="268"/>
      <c r="O64" s="268"/>
      <c r="P64" s="268"/>
      <c r="Q64" s="269"/>
      <c r="R64" s="269"/>
      <c r="S64" s="269"/>
      <c r="T64" s="269"/>
      <c r="U64" s="269"/>
      <c r="V64" s="269"/>
      <c r="W64" s="269"/>
    </row>
    <row r="65" spans="1:45" ht="24.6" customHeight="1" x14ac:dyDescent="0.3">
      <c r="A65" s="172"/>
      <c r="B65" s="214">
        <v>1</v>
      </c>
      <c r="C65" s="270" t="str">
        <f>DATA!D76</f>
        <v>Laporan kegiatan penatausahaan surat dan dokumen dalam lingkup tugas perencanaan, evaluasi, dan pelaporan</v>
      </c>
      <c r="D65" s="270"/>
      <c r="E65" s="270"/>
      <c r="F65" s="270"/>
      <c r="G65" s="270"/>
      <c r="H65" s="270"/>
      <c r="I65" s="270"/>
      <c r="J65" s="270"/>
      <c r="K65" s="270"/>
      <c r="L65" s="270"/>
      <c r="M65" s="270"/>
      <c r="N65" s="270"/>
      <c r="O65" s="270"/>
      <c r="P65" s="270"/>
      <c r="Q65" s="263">
        <f>DATA!$D48</f>
        <v>240</v>
      </c>
      <c r="R65" s="264"/>
      <c r="S65" s="264"/>
      <c r="T65" s="265" t="str">
        <f>DATA!D49</f>
        <v>1,5</v>
      </c>
      <c r="U65" s="266"/>
      <c r="V65" s="266"/>
      <c r="W65" s="267"/>
      <c r="Y65" s="129"/>
      <c r="Z65" s="130"/>
      <c r="AA65" s="130"/>
      <c r="AB65" s="90"/>
      <c r="AC65" s="90"/>
      <c r="AD65" s="90"/>
      <c r="AE65" s="90"/>
      <c r="AF65" s="90"/>
      <c r="AG65" s="90"/>
      <c r="AH65" s="90"/>
      <c r="AI65" s="90"/>
      <c r="AJ65" s="90"/>
      <c r="AK65" s="90"/>
      <c r="AL65" s="90"/>
      <c r="AM65" s="90"/>
      <c r="AN65" s="90"/>
      <c r="AO65" s="90"/>
      <c r="AP65" s="90"/>
      <c r="AQ65" s="90"/>
      <c r="AR65" s="90"/>
    </row>
    <row r="66" spans="1:45" ht="24.6" customHeight="1" x14ac:dyDescent="0.3">
      <c r="A66" s="172"/>
      <c r="B66" s="214">
        <v>2</v>
      </c>
      <c r="C66" s="270" t="str">
        <f>DATA!D77</f>
        <v>Dokumen dan surat dalam lingkup tugas perencanaan, evaluasi, dan pelaporan</v>
      </c>
      <c r="D66" s="270"/>
      <c r="E66" s="270"/>
      <c r="F66" s="270"/>
      <c r="G66" s="270"/>
      <c r="H66" s="270"/>
      <c r="I66" s="270"/>
      <c r="J66" s="270"/>
      <c r="K66" s="270"/>
      <c r="L66" s="270"/>
      <c r="M66" s="270"/>
      <c r="N66" s="270"/>
      <c r="O66" s="270"/>
      <c r="P66" s="270"/>
      <c r="Q66" s="263">
        <f>DATA!D50</f>
        <v>48</v>
      </c>
      <c r="R66" s="264"/>
      <c r="S66" s="264"/>
      <c r="T66" s="265" t="str">
        <f>DATA!D51</f>
        <v>4,5</v>
      </c>
      <c r="U66" s="266"/>
      <c r="V66" s="266"/>
      <c r="W66" s="267"/>
      <c r="Y66" s="129"/>
      <c r="Z66" s="130"/>
      <c r="AA66" s="130"/>
      <c r="AB66" s="90"/>
      <c r="AC66" s="90"/>
      <c r="AD66" s="90"/>
      <c r="AE66" s="90"/>
      <c r="AF66" s="90"/>
      <c r="AG66" s="90"/>
      <c r="AH66" s="90"/>
      <c r="AI66" s="90"/>
      <c r="AJ66" s="90"/>
      <c r="AK66" s="90"/>
      <c r="AL66" s="90"/>
      <c r="AM66" s="90"/>
      <c r="AN66" s="90"/>
      <c r="AO66" s="90"/>
      <c r="AP66" s="90"/>
      <c r="AQ66" s="90"/>
      <c r="AR66" s="90"/>
    </row>
    <row r="67" spans="1:45" ht="24.6" customHeight="1" x14ac:dyDescent="0.3">
      <c r="A67" s="172"/>
      <c r="B67" s="215">
        <v>3</v>
      </c>
      <c r="C67" s="270" t="str">
        <f>DATA!D78</f>
        <v>Arsip surat dan dokumen dalam lingkup tugas perencanaan, evaluasi, dan pelaporan</v>
      </c>
      <c r="D67" s="270"/>
      <c r="E67" s="270"/>
      <c r="F67" s="270"/>
      <c r="G67" s="270"/>
      <c r="H67" s="270"/>
      <c r="I67" s="270"/>
      <c r="J67" s="270"/>
      <c r="K67" s="270"/>
      <c r="L67" s="270"/>
      <c r="M67" s="270"/>
      <c r="N67" s="270"/>
      <c r="O67" s="270"/>
      <c r="P67" s="270"/>
      <c r="Q67" s="263">
        <f>DATA!D52</f>
        <v>12</v>
      </c>
      <c r="R67" s="264"/>
      <c r="S67" s="264"/>
      <c r="T67" s="265">
        <f>DATA!D53</f>
        <v>3</v>
      </c>
      <c r="U67" s="266"/>
      <c r="V67" s="266"/>
      <c r="W67" s="267"/>
      <c r="Y67" s="129"/>
      <c r="Z67" s="130"/>
      <c r="AA67" s="130"/>
      <c r="AB67" s="90"/>
      <c r="AC67" s="90"/>
      <c r="AD67" s="90"/>
      <c r="AE67" s="90"/>
      <c r="AF67" s="90"/>
      <c r="AG67" s="90"/>
      <c r="AH67" s="90"/>
      <c r="AI67" s="90"/>
      <c r="AJ67" s="90"/>
      <c r="AK67" s="90"/>
      <c r="AL67" s="90"/>
      <c r="AM67" s="90"/>
      <c r="AN67" s="90"/>
      <c r="AO67" s="90"/>
      <c r="AP67" s="90"/>
      <c r="AQ67" s="90"/>
      <c r="AR67" s="90"/>
    </row>
    <row r="68" spans="1:45" ht="24.6" customHeight="1" x14ac:dyDescent="0.3">
      <c r="A68" s="172"/>
      <c r="B68" s="214">
        <v>4</v>
      </c>
      <c r="C68" s="270" t="str">
        <f>DATA!D79</f>
        <v>Laporan kegiatan pelayanan publik dalam lingkup tugas perencanaan, evaluasi, dan pelaporan</v>
      </c>
      <c r="D68" s="270"/>
      <c r="E68" s="270"/>
      <c r="F68" s="270"/>
      <c r="G68" s="270"/>
      <c r="H68" s="270"/>
      <c r="I68" s="270"/>
      <c r="J68" s="270"/>
      <c r="K68" s="270"/>
      <c r="L68" s="270"/>
      <c r="M68" s="270"/>
      <c r="N68" s="270"/>
      <c r="O68" s="270"/>
      <c r="P68" s="270"/>
      <c r="Q68" s="263">
        <f>DATA!D54</f>
        <v>240</v>
      </c>
      <c r="R68" s="264"/>
      <c r="S68" s="264"/>
      <c r="T68" s="265" t="str">
        <f>DATA!D55</f>
        <v>1,5</v>
      </c>
      <c r="U68" s="266"/>
      <c r="V68" s="266"/>
      <c r="W68" s="267"/>
      <c r="Y68" s="129"/>
      <c r="Z68" s="130"/>
      <c r="AA68" s="130"/>
      <c r="AB68" s="90"/>
      <c r="AC68" s="90"/>
      <c r="AD68" s="90"/>
      <c r="AE68" s="90"/>
      <c r="AF68" s="90"/>
      <c r="AG68" s="90"/>
      <c r="AH68" s="90"/>
      <c r="AI68" s="90"/>
      <c r="AJ68" s="90"/>
      <c r="AK68" s="90"/>
      <c r="AL68" s="90"/>
      <c r="AM68" s="90"/>
      <c r="AN68" s="90"/>
      <c r="AO68" s="90"/>
      <c r="AP68" s="90"/>
      <c r="AQ68" s="90"/>
      <c r="AR68" s="90"/>
    </row>
    <row r="69" spans="1:45" ht="24.6" customHeight="1" x14ac:dyDescent="0.3">
      <c r="A69" s="172"/>
      <c r="B69" s="214">
        <v>5</v>
      </c>
      <c r="C69" s="270" t="str">
        <f>DATA!D80</f>
        <v>Dokumen, bahan, dan perlengkapan kegiatan tugas dan fungsi unit organisasi</v>
      </c>
      <c r="D69" s="270"/>
      <c r="E69" s="270"/>
      <c r="F69" s="270"/>
      <c r="G69" s="270"/>
      <c r="H69" s="270"/>
      <c r="I69" s="270"/>
      <c r="J69" s="270"/>
      <c r="K69" s="270"/>
      <c r="L69" s="270"/>
      <c r="M69" s="270"/>
      <c r="N69" s="270"/>
      <c r="O69" s="270"/>
      <c r="P69" s="270"/>
      <c r="Q69" s="263">
        <f>DATA!D56</f>
        <v>240</v>
      </c>
      <c r="R69" s="264"/>
      <c r="S69" s="264"/>
      <c r="T69" s="265">
        <f>DATA!D57</f>
        <v>1</v>
      </c>
      <c r="U69" s="266"/>
      <c r="V69" s="266"/>
      <c r="W69" s="267"/>
      <c r="Y69" s="129"/>
      <c r="Z69" s="130"/>
      <c r="AA69" s="130"/>
      <c r="AB69" s="90"/>
      <c r="AC69" s="90"/>
      <c r="AD69" s="90"/>
      <c r="AE69" s="90"/>
      <c r="AF69" s="90"/>
      <c r="AG69" s="90"/>
      <c r="AH69" s="90"/>
      <c r="AI69" s="90"/>
      <c r="AJ69" s="90"/>
      <c r="AK69" s="90"/>
      <c r="AL69" s="90"/>
      <c r="AM69" s="90"/>
      <c r="AN69" s="90"/>
      <c r="AO69" s="90"/>
      <c r="AP69" s="90"/>
      <c r="AQ69" s="90"/>
      <c r="AR69" s="90"/>
    </row>
    <row r="70" spans="1:45" ht="24.6" customHeight="1" x14ac:dyDescent="0.3">
      <c r="A70" s="172"/>
      <c r="B70" s="214">
        <v>6</v>
      </c>
      <c r="C70" s="270" t="str">
        <f>DATA!D81</f>
        <v>Laporan bulanan pelaksanaan tugas dan kegiatan</v>
      </c>
      <c r="D70" s="270"/>
      <c r="E70" s="270"/>
      <c r="F70" s="270"/>
      <c r="G70" s="270"/>
      <c r="H70" s="270"/>
      <c r="I70" s="270"/>
      <c r="J70" s="270"/>
      <c r="K70" s="270"/>
      <c r="L70" s="270"/>
      <c r="M70" s="270"/>
      <c r="N70" s="270"/>
      <c r="O70" s="270"/>
      <c r="P70" s="270"/>
      <c r="Q70" s="263">
        <f>DATA!D58</f>
        <v>12</v>
      </c>
      <c r="R70" s="264"/>
      <c r="S70" s="264"/>
      <c r="T70" s="265">
        <f>DATA!D59</f>
        <v>3</v>
      </c>
      <c r="U70" s="266"/>
      <c r="V70" s="266"/>
      <c r="W70" s="267"/>
      <c r="Y70" s="129"/>
      <c r="Z70" s="130"/>
      <c r="AA70" s="130"/>
      <c r="AB70" s="90"/>
      <c r="AC70" s="90"/>
      <c r="AD70" s="90"/>
      <c r="AE70" s="90"/>
      <c r="AF70" s="90"/>
      <c r="AG70" s="90"/>
      <c r="AH70" s="90"/>
      <c r="AI70" s="90"/>
      <c r="AJ70" s="90"/>
      <c r="AK70" s="90"/>
      <c r="AL70" s="90"/>
      <c r="AM70" s="90"/>
      <c r="AN70" s="90"/>
      <c r="AO70" s="90"/>
      <c r="AP70" s="90"/>
      <c r="AQ70" s="90"/>
      <c r="AR70" s="90"/>
    </row>
    <row r="71" spans="1:45" ht="24.6" customHeight="1" x14ac:dyDescent="0.3">
      <c r="A71" s="172"/>
      <c r="B71" s="214">
        <v>7</v>
      </c>
      <c r="C71" s="270" t="str">
        <f>DATA!D82</f>
        <v>Laporan tugas tambahan/kedinasan lainnya</v>
      </c>
      <c r="D71" s="270"/>
      <c r="E71" s="270"/>
      <c r="F71" s="270"/>
      <c r="G71" s="270"/>
      <c r="H71" s="270"/>
      <c r="I71" s="270"/>
      <c r="J71" s="270"/>
      <c r="K71" s="270"/>
      <c r="L71" s="270"/>
      <c r="M71" s="270"/>
      <c r="N71" s="270"/>
      <c r="O71" s="270"/>
      <c r="P71" s="270"/>
      <c r="Q71" s="263">
        <f>DATA!D60</f>
        <v>2</v>
      </c>
      <c r="R71" s="264"/>
      <c r="S71" s="264"/>
      <c r="T71" s="265" t="str">
        <f>DATA!D61</f>
        <v>1,5</v>
      </c>
      <c r="U71" s="266"/>
      <c r="V71" s="266"/>
      <c r="W71" s="267"/>
      <c r="Y71" s="129"/>
      <c r="Z71" s="130"/>
      <c r="AA71" s="130"/>
      <c r="AB71" s="90"/>
      <c r="AC71" s="90"/>
      <c r="AD71" s="90"/>
      <c r="AE71" s="90"/>
      <c r="AF71" s="90"/>
      <c r="AG71" s="90"/>
      <c r="AH71" s="90"/>
      <c r="AI71" s="90"/>
      <c r="AJ71" s="90"/>
      <c r="AK71" s="90"/>
      <c r="AL71" s="90"/>
      <c r="AM71" s="90"/>
      <c r="AN71" s="90"/>
      <c r="AO71" s="90"/>
      <c r="AP71" s="90"/>
      <c r="AQ71" s="90"/>
      <c r="AR71" s="90"/>
    </row>
    <row r="72" spans="1:45" x14ac:dyDescent="0.3">
      <c r="A72" s="172"/>
      <c r="B72" s="171"/>
      <c r="C72" s="171"/>
      <c r="D72" s="171"/>
      <c r="E72" s="171"/>
      <c r="F72" s="171"/>
      <c r="G72" s="171"/>
      <c r="H72" s="171"/>
      <c r="I72" s="171"/>
      <c r="J72" s="171"/>
      <c r="K72" s="171"/>
      <c r="L72" s="171"/>
      <c r="M72" s="171"/>
      <c r="N72" s="171"/>
      <c r="O72" s="171"/>
      <c r="P72" s="171"/>
      <c r="Q72" s="171"/>
      <c r="R72" s="171"/>
      <c r="S72" s="171"/>
      <c r="T72" s="171"/>
      <c r="U72" s="171"/>
      <c r="V72" s="171"/>
      <c r="W72" s="171"/>
    </row>
    <row r="73" spans="1:45" x14ac:dyDescent="0.3">
      <c r="A73" s="199" t="s">
        <v>166</v>
      </c>
      <c r="B73" s="208" t="s">
        <v>167</v>
      </c>
      <c r="C73" s="171"/>
      <c r="D73" s="171"/>
      <c r="E73" s="171"/>
      <c r="F73" s="171" t="s">
        <v>2</v>
      </c>
      <c r="G73" s="171"/>
      <c r="H73" s="171"/>
      <c r="I73" s="171"/>
      <c r="J73" s="171"/>
      <c r="K73" s="171"/>
      <c r="L73" s="171"/>
      <c r="M73" s="171"/>
      <c r="N73" s="171"/>
      <c r="O73" s="171"/>
      <c r="P73" s="171"/>
      <c r="Q73" s="171"/>
      <c r="R73" s="171"/>
      <c r="S73" s="171"/>
      <c r="T73" s="171"/>
      <c r="U73" s="171"/>
      <c r="V73" s="171"/>
      <c r="W73" s="171"/>
    </row>
    <row r="74" spans="1:45" ht="6.75" customHeight="1" x14ac:dyDescent="0.3">
      <c r="A74" s="172"/>
      <c r="B74" s="171"/>
      <c r="C74" s="171"/>
      <c r="D74" s="171"/>
      <c r="E74" s="171"/>
      <c r="F74" s="171"/>
      <c r="G74" s="171"/>
      <c r="H74" s="171"/>
      <c r="I74" s="171"/>
      <c r="J74" s="171"/>
      <c r="K74" s="171"/>
      <c r="L74" s="171"/>
      <c r="M74" s="171"/>
      <c r="N74" s="171"/>
      <c r="O74" s="171"/>
      <c r="P74" s="171"/>
      <c r="Q74" s="171"/>
      <c r="R74" s="171"/>
      <c r="S74" s="171"/>
      <c r="T74" s="171"/>
      <c r="U74" s="171"/>
      <c r="V74" s="171"/>
      <c r="W74" s="171"/>
    </row>
    <row r="75" spans="1:45" ht="32.4" customHeight="1" x14ac:dyDescent="0.3">
      <c r="A75" s="172"/>
      <c r="B75" s="204" t="s">
        <v>133</v>
      </c>
      <c r="C75" s="233" t="str">
        <f>"Keakuratan dan kelengkapan "&amp;(C65)</f>
        <v>Keakuratan dan kelengkapan Laporan kegiatan penatausahaan surat dan dokumen dalam lingkup tugas perencanaan, evaluasi, dan pelaporan</v>
      </c>
      <c r="D75" s="233"/>
      <c r="E75" s="233"/>
      <c r="F75" s="233"/>
      <c r="G75" s="233"/>
      <c r="H75" s="233"/>
      <c r="I75" s="233"/>
      <c r="J75" s="233"/>
      <c r="K75" s="233"/>
      <c r="L75" s="233"/>
      <c r="M75" s="233"/>
      <c r="N75" s="233"/>
      <c r="O75" s="233"/>
      <c r="P75" s="233"/>
      <c r="Q75" s="233"/>
      <c r="R75" s="233"/>
      <c r="S75" s="233"/>
      <c r="T75" s="233"/>
      <c r="U75" s="233"/>
      <c r="V75" s="233"/>
      <c r="W75" s="233"/>
      <c r="Z75" s="130"/>
      <c r="AA75" s="130"/>
      <c r="AB75" s="90"/>
      <c r="AC75" s="90"/>
      <c r="AD75" s="90"/>
      <c r="AE75" s="90"/>
      <c r="AF75" s="90"/>
      <c r="AG75" s="90"/>
      <c r="AH75" s="90"/>
      <c r="AI75" s="90"/>
      <c r="AJ75" s="90"/>
      <c r="AK75" s="90"/>
      <c r="AL75" s="90"/>
      <c r="AM75" s="90"/>
      <c r="AN75" s="90"/>
      <c r="AO75" s="90"/>
      <c r="AP75" s="90"/>
      <c r="AQ75" s="90"/>
      <c r="AR75" s="90"/>
      <c r="AS75" s="90"/>
    </row>
    <row r="76" spans="1:45" ht="32.4" customHeight="1" x14ac:dyDescent="0.3">
      <c r="A76" s="172"/>
      <c r="B76" s="204" t="s">
        <v>134</v>
      </c>
      <c r="C76" s="233" t="str">
        <f>"Keakuratan dan kelengkapan "&amp;(C66)</f>
        <v>Keakuratan dan kelengkapan Dokumen dan surat dalam lingkup tugas perencanaan, evaluasi, dan pelaporan</v>
      </c>
      <c r="D76" s="233"/>
      <c r="E76" s="233"/>
      <c r="F76" s="233"/>
      <c r="G76" s="233"/>
      <c r="H76" s="233"/>
      <c r="I76" s="233"/>
      <c r="J76" s="233"/>
      <c r="K76" s="233"/>
      <c r="L76" s="233"/>
      <c r="M76" s="233"/>
      <c r="N76" s="233"/>
      <c r="O76" s="233"/>
      <c r="P76" s="233"/>
      <c r="Q76" s="233"/>
      <c r="R76" s="233"/>
      <c r="S76" s="233"/>
      <c r="T76" s="233"/>
      <c r="U76" s="233"/>
      <c r="V76" s="233"/>
      <c r="W76" s="233"/>
      <c r="Z76" s="130"/>
      <c r="AA76" s="130"/>
      <c r="AB76" s="90"/>
      <c r="AC76" s="90"/>
      <c r="AD76" s="90"/>
      <c r="AE76" s="90"/>
      <c r="AF76" s="90"/>
      <c r="AG76" s="90"/>
      <c r="AH76" s="90"/>
      <c r="AI76" s="90"/>
      <c r="AJ76" s="90"/>
      <c r="AK76" s="90"/>
      <c r="AL76" s="90"/>
      <c r="AM76" s="90"/>
      <c r="AN76" s="90"/>
      <c r="AO76" s="90"/>
      <c r="AP76" s="90"/>
      <c r="AQ76" s="90"/>
      <c r="AR76" s="90"/>
      <c r="AS76" s="90"/>
    </row>
    <row r="77" spans="1:45" ht="32.4" customHeight="1" x14ac:dyDescent="0.3">
      <c r="A77" s="172"/>
      <c r="B77" s="204" t="s">
        <v>135</v>
      </c>
      <c r="C77" s="233" t="str">
        <f>"Keakuratan dan kelengkapan "&amp;(C67)</f>
        <v>Keakuratan dan kelengkapan Arsip surat dan dokumen dalam lingkup tugas perencanaan, evaluasi, dan pelaporan</v>
      </c>
      <c r="D77" s="233"/>
      <c r="E77" s="233"/>
      <c r="F77" s="233"/>
      <c r="G77" s="233"/>
      <c r="H77" s="233"/>
      <c r="I77" s="233"/>
      <c r="J77" s="233"/>
      <c r="K77" s="233"/>
      <c r="L77" s="233"/>
      <c r="M77" s="233"/>
      <c r="N77" s="233"/>
      <c r="O77" s="233"/>
      <c r="P77" s="233"/>
      <c r="Q77" s="233"/>
      <c r="R77" s="233"/>
      <c r="S77" s="233"/>
      <c r="T77" s="233"/>
      <c r="U77" s="233"/>
      <c r="V77" s="233"/>
      <c r="W77" s="233"/>
      <c r="Z77" s="130"/>
      <c r="AA77" s="130"/>
      <c r="AB77" s="90"/>
      <c r="AC77" s="90"/>
      <c r="AD77" s="90"/>
      <c r="AE77" s="90"/>
      <c r="AF77" s="90"/>
      <c r="AG77" s="90"/>
      <c r="AH77" s="90"/>
      <c r="AI77" s="90"/>
      <c r="AJ77" s="90"/>
      <c r="AK77" s="90"/>
      <c r="AL77" s="90"/>
      <c r="AM77" s="90"/>
      <c r="AN77" s="90"/>
      <c r="AO77" s="90"/>
      <c r="AP77" s="90"/>
      <c r="AQ77" s="90"/>
      <c r="AR77" s="90"/>
      <c r="AS77" s="90"/>
    </row>
    <row r="78" spans="1:45" ht="32.4" customHeight="1" x14ac:dyDescent="0.3">
      <c r="A78" s="172"/>
      <c r="B78" s="204" t="s">
        <v>136</v>
      </c>
      <c r="C78" s="233" t="str">
        <f>"Keakuratan dan kelengkapan "&amp;(C68)</f>
        <v>Keakuratan dan kelengkapan Laporan kegiatan pelayanan publik dalam lingkup tugas perencanaan, evaluasi, dan pelaporan</v>
      </c>
      <c r="D78" s="233"/>
      <c r="E78" s="233"/>
      <c r="F78" s="233"/>
      <c r="G78" s="233"/>
      <c r="H78" s="233"/>
      <c r="I78" s="233"/>
      <c r="J78" s="233"/>
      <c r="K78" s="233"/>
      <c r="L78" s="233"/>
      <c r="M78" s="233"/>
      <c r="N78" s="233"/>
      <c r="O78" s="233"/>
      <c r="P78" s="233"/>
      <c r="Q78" s="233"/>
      <c r="R78" s="233"/>
      <c r="S78" s="233"/>
      <c r="T78" s="233"/>
      <c r="U78" s="233"/>
      <c r="V78" s="233"/>
      <c r="W78" s="233"/>
      <c r="Z78" s="130"/>
      <c r="AA78" s="130"/>
      <c r="AB78" s="90"/>
      <c r="AC78" s="90"/>
      <c r="AD78" s="90"/>
      <c r="AE78" s="90"/>
      <c r="AF78" s="90"/>
      <c r="AG78" s="90"/>
      <c r="AH78" s="90"/>
      <c r="AI78" s="90"/>
      <c r="AJ78" s="90"/>
      <c r="AK78" s="90"/>
      <c r="AL78" s="90"/>
      <c r="AM78" s="90"/>
      <c r="AN78" s="90"/>
      <c r="AO78" s="90"/>
      <c r="AP78" s="90"/>
      <c r="AQ78" s="90"/>
      <c r="AR78" s="90"/>
      <c r="AS78" s="90"/>
    </row>
    <row r="79" spans="1:45" ht="33" customHeight="1" x14ac:dyDescent="0.3">
      <c r="A79" s="172"/>
      <c r="B79" s="204" t="s">
        <v>137</v>
      </c>
      <c r="C79" s="233" t="str">
        <f>"Kelancaran pelaksanaan kegiatan serta keakuratan dan kelengkapan "&amp;LOWER(C69)</f>
        <v>Kelancaran pelaksanaan kegiatan serta keakuratan dan kelengkapan dokumen, bahan, dan perlengkapan kegiatan tugas dan fungsi unit organisasi</v>
      </c>
      <c r="D79" s="233"/>
      <c r="E79" s="233"/>
      <c r="F79" s="233"/>
      <c r="G79" s="233"/>
      <c r="H79" s="233"/>
      <c r="I79" s="233"/>
      <c r="J79" s="233"/>
      <c r="K79" s="233"/>
      <c r="L79" s="233"/>
      <c r="M79" s="233"/>
      <c r="N79" s="233"/>
      <c r="O79" s="233"/>
      <c r="P79" s="233"/>
      <c r="Q79" s="233"/>
      <c r="R79" s="233"/>
      <c r="S79" s="233"/>
      <c r="T79" s="233"/>
      <c r="U79" s="233"/>
      <c r="V79" s="233"/>
      <c r="W79" s="233"/>
      <c r="Z79" s="130"/>
      <c r="AA79" s="130"/>
      <c r="AB79" s="90"/>
      <c r="AC79" s="90"/>
      <c r="AD79" s="90"/>
      <c r="AE79" s="90"/>
      <c r="AF79" s="90"/>
      <c r="AG79" s="90"/>
      <c r="AH79" s="90"/>
      <c r="AI79" s="90"/>
      <c r="AJ79" s="90"/>
      <c r="AK79" s="90"/>
      <c r="AL79" s="90"/>
      <c r="AM79" s="90"/>
      <c r="AN79" s="90"/>
      <c r="AO79" s="90"/>
      <c r="AP79" s="90"/>
      <c r="AQ79" s="90"/>
      <c r="AR79" s="90"/>
      <c r="AS79" s="90"/>
    </row>
    <row r="80" spans="1:45" ht="19.95" customHeight="1" x14ac:dyDescent="0.3">
      <c r="A80" s="172"/>
      <c r="B80" s="204" t="s">
        <v>138</v>
      </c>
      <c r="C80" s="233" t="str">
        <f>"Keakuratan dan kelengkapan "&amp;LOWER(C70)</f>
        <v>Keakuratan dan kelengkapan laporan bulanan pelaksanaan tugas dan kegiatan</v>
      </c>
      <c r="D80" s="233"/>
      <c r="E80" s="233"/>
      <c r="F80" s="233"/>
      <c r="G80" s="233"/>
      <c r="H80" s="233"/>
      <c r="I80" s="233"/>
      <c r="J80" s="233"/>
      <c r="K80" s="233"/>
      <c r="L80" s="233"/>
      <c r="M80" s="233"/>
      <c r="N80" s="233"/>
      <c r="O80" s="233"/>
      <c r="P80" s="233"/>
      <c r="Q80" s="233"/>
      <c r="R80" s="233"/>
      <c r="S80" s="233"/>
      <c r="T80" s="233"/>
      <c r="U80" s="233"/>
      <c r="V80" s="233"/>
      <c r="W80" s="233"/>
      <c r="Z80" s="130"/>
      <c r="AA80" s="130"/>
      <c r="AB80" s="90"/>
      <c r="AC80" s="90"/>
      <c r="AD80" s="90"/>
      <c r="AE80" s="90"/>
      <c r="AF80" s="90"/>
      <c r="AG80" s="90"/>
      <c r="AH80" s="90"/>
      <c r="AI80" s="90"/>
      <c r="AJ80" s="90"/>
      <c r="AK80" s="90"/>
      <c r="AL80" s="90"/>
      <c r="AM80" s="90"/>
      <c r="AN80" s="90"/>
      <c r="AO80" s="90"/>
      <c r="AP80" s="90"/>
      <c r="AQ80" s="90"/>
      <c r="AR80" s="90"/>
      <c r="AS80" s="90"/>
    </row>
    <row r="81" spans="1:45" ht="19.95" customHeight="1" x14ac:dyDescent="0.3">
      <c r="A81" s="172"/>
      <c r="B81" s="204" t="s">
        <v>139</v>
      </c>
      <c r="C81" s="233" t="str">
        <f>"Keakuratan dan kelengkapan "&amp;LOWER(C71)</f>
        <v>Keakuratan dan kelengkapan laporan tugas tambahan/kedinasan lainnya</v>
      </c>
      <c r="D81" s="233"/>
      <c r="E81" s="233"/>
      <c r="F81" s="233"/>
      <c r="G81" s="233"/>
      <c r="H81" s="233"/>
      <c r="I81" s="233"/>
      <c r="J81" s="233"/>
      <c r="K81" s="233"/>
      <c r="L81" s="233"/>
      <c r="M81" s="233"/>
      <c r="N81" s="233"/>
      <c r="O81" s="233"/>
      <c r="P81" s="233"/>
      <c r="Q81" s="233"/>
      <c r="R81" s="233"/>
      <c r="S81" s="233"/>
      <c r="T81" s="233"/>
      <c r="U81" s="233"/>
      <c r="V81" s="233"/>
      <c r="W81" s="233"/>
      <c r="Z81" s="130"/>
      <c r="AA81" s="130"/>
      <c r="AB81" s="90"/>
      <c r="AC81" s="90"/>
      <c r="AD81" s="90"/>
      <c r="AE81" s="90"/>
      <c r="AF81" s="90"/>
      <c r="AG81" s="90"/>
      <c r="AH81" s="90"/>
      <c r="AI81" s="90"/>
      <c r="AJ81" s="90"/>
      <c r="AK81" s="90"/>
      <c r="AL81" s="90"/>
      <c r="AM81" s="90"/>
      <c r="AN81" s="90"/>
      <c r="AO81" s="90"/>
      <c r="AP81" s="90"/>
      <c r="AQ81" s="90"/>
      <c r="AR81" s="90"/>
      <c r="AS81" s="90"/>
    </row>
    <row r="82" spans="1:45" ht="7.5" customHeight="1" x14ac:dyDescent="0.3">
      <c r="A82" s="172"/>
      <c r="B82" s="171"/>
      <c r="C82" s="171"/>
      <c r="D82" s="171"/>
      <c r="E82" s="171"/>
      <c r="F82" s="171"/>
      <c r="G82" s="171"/>
      <c r="H82" s="171"/>
      <c r="I82" s="171"/>
      <c r="J82" s="171"/>
      <c r="K82" s="171"/>
      <c r="L82" s="171"/>
      <c r="M82" s="171"/>
      <c r="N82" s="171"/>
      <c r="O82" s="171"/>
      <c r="P82" s="171"/>
      <c r="Q82" s="171"/>
      <c r="R82" s="171"/>
      <c r="S82" s="171"/>
      <c r="T82" s="171"/>
      <c r="U82" s="171"/>
      <c r="V82" s="171"/>
      <c r="W82" s="171"/>
    </row>
    <row r="83" spans="1:45" x14ac:dyDescent="0.3">
      <c r="A83" s="199" t="s">
        <v>168</v>
      </c>
      <c r="B83" s="208" t="s">
        <v>169</v>
      </c>
      <c r="C83" s="171"/>
      <c r="D83" s="171"/>
      <c r="E83" s="171" t="s">
        <v>2</v>
      </c>
      <c r="F83" s="171"/>
      <c r="G83" s="171"/>
      <c r="H83" s="171"/>
      <c r="I83" s="171"/>
      <c r="J83" s="171"/>
      <c r="K83" s="171"/>
      <c r="L83" s="171"/>
      <c r="M83" s="171"/>
      <c r="N83" s="171"/>
      <c r="O83" s="171"/>
      <c r="P83" s="171"/>
      <c r="Q83" s="171"/>
      <c r="R83" s="171"/>
      <c r="S83" s="171"/>
      <c r="T83" s="171"/>
      <c r="U83" s="171"/>
      <c r="V83" s="171"/>
      <c r="W83" s="171"/>
    </row>
    <row r="84" spans="1:45" ht="7.5" customHeight="1" x14ac:dyDescent="0.3">
      <c r="A84" s="172"/>
      <c r="B84" s="171"/>
      <c r="C84" s="171"/>
      <c r="D84" s="171"/>
      <c r="E84" s="171"/>
      <c r="F84" s="171"/>
      <c r="G84" s="171"/>
      <c r="H84" s="171"/>
      <c r="I84" s="171"/>
      <c r="J84" s="171"/>
      <c r="K84" s="171"/>
      <c r="L84" s="171"/>
      <c r="M84" s="171"/>
      <c r="N84" s="171"/>
      <c r="O84" s="171"/>
      <c r="P84" s="171"/>
      <c r="Q84" s="171"/>
      <c r="R84" s="171"/>
      <c r="S84" s="171"/>
      <c r="T84" s="171"/>
      <c r="U84" s="171"/>
      <c r="V84" s="171"/>
      <c r="W84" s="171"/>
    </row>
    <row r="85" spans="1:45" x14ac:dyDescent="0.3">
      <c r="A85" s="172"/>
      <c r="B85" s="204" t="s">
        <v>133</v>
      </c>
      <c r="C85" s="202" t="s">
        <v>170</v>
      </c>
      <c r="D85" s="202"/>
      <c r="E85" s="202"/>
      <c r="F85" s="202"/>
      <c r="G85" s="202"/>
      <c r="H85" s="202"/>
      <c r="I85" s="202"/>
      <c r="J85" s="202"/>
      <c r="K85" s="202"/>
      <c r="L85" s="202"/>
      <c r="M85" s="202"/>
      <c r="N85" s="202"/>
      <c r="O85" s="202"/>
      <c r="P85" s="202"/>
      <c r="Q85" s="202"/>
      <c r="R85" s="202"/>
      <c r="S85" s="202"/>
      <c r="T85" s="202"/>
      <c r="U85" s="202"/>
      <c r="V85" s="202"/>
      <c r="W85" s="202"/>
    </row>
    <row r="86" spans="1:45" x14ac:dyDescent="0.3">
      <c r="A86" s="172"/>
      <c r="B86" s="204" t="s">
        <v>134</v>
      </c>
      <c r="C86" s="202" t="s">
        <v>171</v>
      </c>
      <c r="D86" s="202"/>
      <c r="E86" s="202"/>
      <c r="F86" s="202"/>
      <c r="G86" s="202"/>
      <c r="H86" s="202"/>
      <c r="I86" s="202"/>
      <c r="J86" s="202"/>
      <c r="K86" s="202"/>
      <c r="L86" s="202"/>
      <c r="M86" s="202"/>
      <c r="N86" s="202"/>
      <c r="O86" s="202"/>
      <c r="P86" s="202"/>
      <c r="Q86" s="202"/>
      <c r="R86" s="202"/>
      <c r="S86" s="202"/>
      <c r="T86" s="202"/>
      <c r="U86" s="202"/>
      <c r="V86" s="202"/>
      <c r="W86" s="202"/>
    </row>
    <row r="87" spans="1:45" x14ac:dyDescent="0.3">
      <c r="A87" s="172"/>
      <c r="B87" s="204" t="s">
        <v>135</v>
      </c>
      <c r="C87" s="202" t="s">
        <v>172</v>
      </c>
      <c r="D87" s="202"/>
      <c r="E87" s="202"/>
      <c r="F87" s="202"/>
      <c r="G87" s="202"/>
      <c r="H87" s="202"/>
      <c r="I87" s="202"/>
      <c r="J87" s="202"/>
      <c r="K87" s="202"/>
      <c r="L87" s="202"/>
      <c r="M87" s="202"/>
      <c r="N87" s="202"/>
      <c r="O87" s="202"/>
      <c r="P87" s="202"/>
      <c r="Q87" s="202"/>
      <c r="R87" s="202"/>
      <c r="S87" s="202"/>
      <c r="T87" s="202"/>
      <c r="U87" s="202"/>
      <c r="V87" s="202"/>
      <c r="W87" s="202"/>
    </row>
    <row r="88" spans="1:45" ht="9" customHeight="1" x14ac:dyDescent="0.3">
      <c r="A88" s="172"/>
      <c r="B88" s="171"/>
      <c r="C88" s="171"/>
      <c r="D88" s="171"/>
      <c r="E88" s="171"/>
      <c r="F88" s="171"/>
      <c r="G88" s="171"/>
      <c r="H88" s="171"/>
      <c r="I88" s="171"/>
      <c r="J88" s="171"/>
      <c r="K88" s="171"/>
      <c r="L88" s="171"/>
      <c r="M88" s="171"/>
      <c r="N88" s="171"/>
      <c r="O88" s="171"/>
      <c r="P88" s="171"/>
      <c r="Q88" s="171"/>
      <c r="R88" s="171"/>
      <c r="S88" s="171"/>
      <c r="T88" s="171"/>
      <c r="U88" s="171"/>
      <c r="V88" s="171"/>
      <c r="W88" s="171"/>
    </row>
    <row r="89" spans="1:45" x14ac:dyDescent="0.3">
      <c r="A89" s="199" t="s">
        <v>173</v>
      </c>
      <c r="B89" s="208" t="s">
        <v>174</v>
      </c>
      <c r="C89" s="208"/>
      <c r="D89" s="208"/>
      <c r="E89" s="208"/>
      <c r="F89" s="171" t="s">
        <v>2</v>
      </c>
      <c r="G89" s="171"/>
      <c r="H89" s="171"/>
      <c r="I89" s="171"/>
      <c r="J89" s="171"/>
      <c r="K89" s="171"/>
      <c r="L89" s="171"/>
      <c r="M89" s="171"/>
      <c r="N89" s="171"/>
      <c r="O89" s="171"/>
      <c r="P89" s="171"/>
      <c r="Q89" s="171"/>
      <c r="R89" s="171"/>
      <c r="S89" s="171"/>
      <c r="T89" s="171"/>
      <c r="U89" s="171"/>
      <c r="V89" s="171"/>
      <c r="W89" s="171"/>
    </row>
    <row r="90" spans="1:45" ht="8.25" customHeight="1" x14ac:dyDescent="0.3">
      <c r="A90" s="172"/>
      <c r="B90" s="171"/>
      <c r="C90" s="171"/>
      <c r="D90" s="171"/>
      <c r="E90" s="171"/>
      <c r="F90" s="171"/>
      <c r="G90" s="171"/>
      <c r="H90" s="171"/>
      <c r="I90" s="171"/>
      <c r="J90" s="171"/>
      <c r="K90" s="171"/>
      <c r="L90" s="171"/>
      <c r="M90" s="171"/>
      <c r="N90" s="171"/>
      <c r="O90" s="171"/>
      <c r="P90" s="171"/>
      <c r="Q90" s="171"/>
      <c r="R90" s="171"/>
      <c r="S90" s="171"/>
      <c r="T90" s="171"/>
      <c r="U90" s="171"/>
      <c r="V90" s="171"/>
      <c r="W90" s="171"/>
    </row>
    <row r="91" spans="1:45" x14ac:dyDescent="0.3">
      <c r="A91" s="172"/>
      <c r="B91" s="213" t="s">
        <v>142</v>
      </c>
      <c r="C91" s="268" t="s">
        <v>175</v>
      </c>
      <c r="D91" s="268"/>
      <c r="E91" s="268"/>
      <c r="F91" s="268"/>
      <c r="G91" s="268"/>
      <c r="H91" s="268"/>
      <c r="I91" s="268"/>
      <c r="J91" s="268" t="s">
        <v>176</v>
      </c>
      <c r="K91" s="268"/>
      <c r="L91" s="268"/>
      <c r="M91" s="268"/>
      <c r="N91" s="268"/>
      <c r="O91" s="268"/>
      <c r="P91" s="268"/>
      <c r="Q91" s="268" t="s">
        <v>177</v>
      </c>
      <c r="R91" s="268"/>
      <c r="S91" s="268"/>
      <c r="T91" s="268"/>
      <c r="U91" s="268"/>
      <c r="V91" s="268"/>
      <c r="W91" s="268"/>
    </row>
    <row r="92" spans="1:45" ht="33" customHeight="1" x14ac:dyDescent="0.3">
      <c r="A92" s="172"/>
      <c r="B92" s="214">
        <v>1</v>
      </c>
      <c r="C92" s="270" t="str">
        <f>DATA!D7</f>
        <v>Sekretaris Dinas Penanaman Modal dan Pelayanan Terpadu Satu Pintu</v>
      </c>
      <c r="D92" s="270"/>
      <c r="E92" s="270"/>
      <c r="F92" s="270"/>
      <c r="G92" s="270"/>
      <c r="H92" s="270"/>
      <c r="I92" s="270"/>
      <c r="J92" s="270" t="str">
        <f>IF(Y92="-",Z92,Y92)</f>
        <v>Sekretariat Dinas Penanaman Modal dan Pelayanan Terpadu Satu Pintu</v>
      </c>
      <c r="K92" s="270"/>
      <c r="L92" s="270"/>
      <c r="M92" s="270"/>
      <c r="N92" s="270"/>
      <c r="O92" s="270"/>
      <c r="P92" s="270"/>
      <c r="Q92" s="270" t="s">
        <v>178</v>
      </c>
      <c r="R92" s="270"/>
      <c r="S92" s="270"/>
      <c r="T92" s="270"/>
      <c r="U92" s="270"/>
      <c r="V92" s="270"/>
      <c r="W92" s="270"/>
      <c r="Y92" s="131" t="str">
        <f>DATA!D4</f>
        <v>-</v>
      </c>
      <c r="Z92" s="132" t="str">
        <f>DATA!D5</f>
        <v>Sekretariat Dinas Penanaman Modal dan Pelayanan Terpadu Satu Pintu</v>
      </c>
      <c r="AA92" s="133"/>
    </row>
    <row r="93" spans="1:45" ht="43.5" customHeight="1" x14ac:dyDescent="0.3">
      <c r="A93" s="172"/>
      <c r="B93" s="214">
        <v>2</v>
      </c>
      <c r="C93" s="270" t="s">
        <v>179</v>
      </c>
      <c r="D93" s="270"/>
      <c r="E93" s="270"/>
      <c r="F93" s="270"/>
      <c r="G93" s="270"/>
      <c r="H93" s="270"/>
      <c r="I93" s="270"/>
      <c r="J93" s="270" t="str">
        <f>J92</f>
        <v>Sekretariat Dinas Penanaman Modal dan Pelayanan Terpadu Satu Pintu</v>
      </c>
      <c r="K93" s="270"/>
      <c r="L93" s="270"/>
      <c r="M93" s="270"/>
      <c r="N93" s="270"/>
      <c r="O93" s="270"/>
      <c r="P93" s="270"/>
      <c r="Q93" s="270" t="s">
        <v>180</v>
      </c>
      <c r="R93" s="270"/>
      <c r="S93" s="270"/>
      <c r="T93" s="270"/>
      <c r="U93" s="270"/>
      <c r="V93" s="270"/>
      <c r="W93" s="270"/>
      <c r="Y93" s="134"/>
      <c r="Z93" s="133"/>
      <c r="AA93" s="133"/>
    </row>
    <row r="94" spans="1:45" x14ac:dyDescent="0.3">
      <c r="A94" s="172"/>
      <c r="B94" s="171"/>
      <c r="C94" s="171"/>
      <c r="D94" s="171"/>
      <c r="E94" s="171"/>
      <c r="F94" s="171"/>
      <c r="G94" s="171"/>
      <c r="H94" s="171"/>
      <c r="I94" s="171"/>
      <c r="J94" s="171"/>
      <c r="K94" s="171"/>
      <c r="L94" s="171"/>
      <c r="M94" s="171"/>
      <c r="N94" s="171"/>
      <c r="O94" s="171"/>
      <c r="P94" s="171"/>
      <c r="Q94" s="171"/>
      <c r="R94" s="171"/>
      <c r="S94" s="171"/>
      <c r="T94" s="171"/>
      <c r="U94" s="171"/>
      <c r="V94" s="171"/>
      <c r="W94" s="171"/>
    </row>
    <row r="95" spans="1:45" x14ac:dyDescent="0.3">
      <c r="A95" s="199" t="s">
        <v>181</v>
      </c>
      <c r="B95" s="208" t="s">
        <v>182</v>
      </c>
      <c r="C95" s="208"/>
      <c r="D95" s="171"/>
      <c r="E95" s="171"/>
      <c r="F95" s="171"/>
      <c r="G95" s="171"/>
      <c r="H95" s="171"/>
      <c r="I95" s="171" t="s">
        <v>2</v>
      </c>
      <c r="J95" s="171"/>
      <c r="K95" s="171"/>
      <c r="L95" s="171"/>
      <c r="M95" s="171"/>
      <c r="N95" s="171"/>
      <c r="O95" s="171"/>
      <c r="P95" s="171"/>
      <c r="Q95" s="171"/>
      <c r="R95" s="171"/>
      <c r="S95" s="171"/>
      <c r="T95" s="171"/>
      <c r="U95" s="171"/>
      <c r="V95" s="171"/>
      <c r="W95" s="171"/>
    </row>
    <row r="96" spans="1:45" x14ac:dyDescent="0.3">
      <c r="A96" s="172"/>
      <c r="B96" s="171"/>
      <c r="C96" s="171"/>
      <c r="D96" s="171"/>
      <c r="E96" s="171"/>
      <c r="F96" s="171"/>
      <c r="G96" s="171"/>
      <c r="H96" s="171"/>
      <c r="I96" s="171"/>
      <c r="J96" s="171"/>
      <c r="K96" s="171"/>
      <c r="L96" s="171"/>
      <c r="M96" s="171"/>
      <c r="N96" s="171"/>
      <c r="O96" s="171"/>
      <c r="P96" s="171"/>
      <c r="Q96" s="171"/>
      <c r="R96" s="171"/>
      <c r="S96" s="171"/>
      <c r="T96" s="171"/>
      <c r="U96" s="171"/>
      <c r="V96" s="171"/>
      <c r="W96" s="171"/>
    </row>
    <row r="97" spans="1:23" x14ac:dyDescent="0.3">
      <c r="A97" s="172"/>
      <c r="B97" s="216" t="s">
        <v>142</v>
      </c>
      <c r="C97" s="271" t="s">
        <v>183</v>
      </c>
      <c r="D97" s="271"/>
      <c r="E97" s="271"/>
      <c r="F97" s="271"/>
      <c r="G97" s="271"/>
      <c r="H97" s="271"/>
      <c r="I97" s="271"/>
      <c r="J97" s="271"/>
      <c r="K97" s="271"/>
      <c r="L97" s="271" t="s">
        <v>184</v>
      </c>
      <c r="M97" s="271"/>
      <c r="N97" s="271"/>
      <c r="O97" s="271"/>
      <c r="P97" s="271"/>
      <c r="Q97" s="271"/>
      <c r="R97" s="271"/>
      <c r="S97" s="271"/>
      <c r="T97" s="271"/>
      <c r="U97" s="271"/>
      <c r="V97" s="271"/>
      <c r="W97" s="271"/>
    </row>
    <row r="98" spans="1:23" ht="12.6" customHeight="1" x14ac:dyDescent="0.3">
      <c r="A98" s="172"/>
      <c r="B98" s="214">
        <v>1</v>
      </c>
      <c r="C98" s="272" t="s">
        <v>185</v>
      </c>
      <c r="D98" s="272"/>
      <c r="E98" s="272"/>
      <c r="F98" s="272"/>
      <c r="G98" s="272"/>
      <c r="H98" s="272"/>
      <c r="I98" s="272"/>
      <c r="J98" s="272"/>
      <c r="K98" s="272"/>
      <c r="L98" s="272" t="s">
        <v>186</v>
      </c>
      <c r="M98" s="272"/>
      <c r="N98" s="272"/>
      <c r="O98" s="272"/>
      <c r="P98" s="272"/>
      <c r="Q98" s="272"/>
      <c r="R98" s="272"/>
      <c r="S98" s="272"/>
      <c r="T98" s="272"/>
      <c r="U98" s="272"/>
      <c r="V98" s="272"/>
      <c r="W98" s="272"/>
    </row>
    <row r="99" spans="1:23" ht="12.6" customHeight="1" x14ac:dyDescent="0.3">
      <c r="A99" s="172"/>
      <c r="B99" s="214">
        <v>2</v>
      </c>
      <c r="C99" s="272" t="s">
        <v>187</v>
      </c>
      <c r="D99" s="272"/>
      <c r="E99" s="272"/>
      <c r="F99" s="272"/>
      <c r="G99" s="272"/>
      <c r="H99" s="272"/>
      <c r="I99" s="272"/>
      <c r="J99" s="272"/>
      <c r="K99" s="272"/>
      <c r="L99" s="272" t="s">
        <v>188</v>
      </c>
      <c r="M99" s="272"/>
      <c r="N99" s="272"/>
      <c r="O99" s="272"/>
      <c r="P99" s="272"/>
      <c r="Q99" s="272"/>
      <c r="R99" s="272"/>
      <c r="S99" s="272"/>
      <c r="T99" s="272"/>
      <c r="U99" s="272"/>
      <c r="V99" s="272"/>
      <c r="W99" s="272"/>
    </row>
    <row r="100" spans="1:23" ht="12.6" customHeight="1" x14ac:dyDescent="0.3">
      <c r="A100" s="172"/>
      <c r="B100" s="214">
        <v>3</v>
      </c>
      <c r="C100" s="272" t="s">
        <v>189</v>
      </c>
      <c r="D100" s="272"/>
      <c r="E100" s="272"/>
      <c r="F100" s="272"/>
      <c r="G100" s="272"/>
      <c r="H100" s="272"/>
      <c r="I100" s="272"/>
      <c r="J100" s="272"/>
      <c r="K100" s="272"/>
      <c r="L100" s="272" t="s">
        <v>190</v>
      </c>
      <c r="M100" s="272"/>
      <c r="N100" s="272"/>
      <c r="O100" s="272"/>
      <c r="P100" s="272"/>
      <c r="Q100" s="272"/>
      <c r="R100" s="272"/>
      <c r="S100" s="272"/>
      <c r="T100" s="272"/>
      <c r="U100" s="272"/>
      <c r="V100" s="272"/>
      <c r="W100" s="272"/>
    </row>
    <row r="101" spans="1:23" ht="12.6" customHeight="1" x14ac:dyDescent="0.3">
      <c r="A101" s="172"/>
      <c r="B101" s="214">
        <v>4</v>
      </c>
      <c r="C101" s="272" t="s">
        <v>191</v>
      </c>
      <c r="D101" s="272"/>
      <c r="E101" s="272"/>
      <c r="F101" s="272"/>
      <c r="G101" s="272"/>
      <c r="H101" s="272"/>
      <c r="I101" s="272"/>
      <c r="J101" s="272"/>
      <c r="K101" s="272"/>
      <c r="L101" s="272" t="s">
        <v>192</v>
      </c>
      <c r="M101" s="272"/>
      <c r="N101" s="272"/>
      <c r="O101" s="272"/>
      <c r="P101" s="272"/>
      <c r="Q101" s="272"/>
      <c r="R101" s="272"/>
      <c r="S101" s="272"/>
      <c r="T101" s="272"/>
      <c r="U101" s="272"/>
      <c r="V101" s="272"/>
      <c r="W101" s="272"/>
    </row>
    <row r="102" spans="1:23" ht="12.6" customHeight="1" x14ac:dyDescent="0.3">
      <c r="A102" s="172"/>
      <c r="B102" s="214">
        <v>5</v>
      </c>
      <c r="C102" s="272" t="s">
        <v>193</v>
      </c>
      <c r="D102" s="272"/>
      <c r="E102" s="272"/>
      <c r="F102" s="272"/>
      <c r="G102" s="272"/>
      <c r="H102" s="272"/>
      <c r="I102" s="272"/>
      <c r="J102" s="272"/>
      <c r="K102" s="272"/>
      <c r="L102" s="272" t="s">
        <v>194</v>
      </c>
      <c r="M102" s="272"/>
      <c r="N102" s="272"/>
      <c r="O102" s="272"/>
      <c r="P102" s="272"/>
      <c r="Q102" s="272"/>
      <c r="R102" s="272"/>
      <c r="S102" s="272"/>
      <c r="T102" s="272"/>
      <c r="U102" s="272"/>
      <c r="V102" s="272"/>
      <c r="W102" s="272"/>
    </row>
    <row r="103" spans="1:23" ht="12.6" customHeight="1" x14ac:dyDescent="0.3">
      <c r="A103" s="172"/>
      <c r="B103" s="214">
        <v>6</v>
      </c>
      <c r="C103" s="272" t="s">
        <v>195</v>
      </c>
      <c r="D103" s="272"/>
      <c r="E103" s="272"/>
      <c r="F103" s="272"/>
      <c r="G103" s="272"/>
      <c r="H103" s="272"/>
      <c r="I103" s="272"/>
      <c r="J103" s="272"/>
      <c r="K103" s="272"/>
      <c r="L103" s="272" t="s">
        <v>196</v>
      </c>
      <c r="M103" s="272"/>
      <c r="N103" s="272"/>
      <c r="O103" s="272"/>
      <c r="P103" s="272"/>
      <c r="Q103" s="272"/>
      <c r="R103" s="272"/>
      <c r="S103" s="272"/>
      <c r="T103" s="272"/>
      <c r="U103" s="272"/>
      <c r="V103" s="272"/>
      <c r="W103" s="272"/>
    </row>
    <row r="104" spans="1:23" ht="12.6" customHeight="1" x14ac:dyDescent="0.3">
      <c r="A104" s="172"/>
      <c r="B104" s="214">
        <v>7</v>
      </c>
      <c r="C104" s="272" t="s">
        <v>197</v>
      </c>
      <c r="D104" s="272"/>
      <c r="E104" s="272"/>
      <c r="F104" s="272"/>
      <c r="G104" s="272"/>
      <c r="H104" s="272"/>
      <c r="I104" s="272"/>
      <c r="J104" s="272"/>
      <c r="K104" s="272"/>
      <c r="L104" s="272" t="s">
        <v>198</v>
      </c>
      <c r="M104" s="272"/>
      <c r="N104" s="272"/>
      <c r="O104" s="272"/>
      <c r="P104" s="272"/>
      <c r="Q104" s="272"/>
      <c r="R104" s="272"/>
      <c r="S104" s="272"/>
      <c r="T104" s="272"/>
      <c r="U104" s="272"/>
      <c r="V104" s="272"/>
      <c r="W104" s="272"/>
    </row>
    <row r="105" spans="1:23" ht="12.6" customHeight="1" x14ac:dyDescent="0.3">
      <c r="A105" s="172"/>
      <c r="B105" s="214">
        <v>8</v>
      </c>
      <c r="C105" s="272" t="s">
        <v>199</v>
      </c>
      <c r="D105" s="272"/>
      <c r="E105" s="272"/>
      <c r="F105" s="272"/>
      <c r="G105" s="272"/>
      <c r="H105" s="272"/>
      <c r="I105" s="272"/>
      <c r="J105" s="272"/>
      <c r="K105" s="272"/>
      <c r="L105" s="272" t="s">
        <v>200</v>
      </c>
      <c r="M105" s="272"/>
      <c r="N105" s="272"/>
      <c r="O105" s="272"/>
      <c r="P105" s="272"/>
      <c r="Q105" s="272"/>
      <c r="R105" s="272"/>
      <c r="S105" s="272"/>
      <c r="T105" s="272"/>
      <c r="U105" s="272"/>
      <c r="V105" s="272"/>
      <c r="W105" s="272"/>
    </row>
    <row r="106" spans="1:23" ht="12.6" customHeight="1" x14ac:dyDescent="0.3">
      <c r="A106" s="172"/>
      <c r="B106" s="214">
        <v>9</v>
      </c>
      <c r="C106" s="272" t="s">
        <v>201</v>
      </c>
      <c r="D106" s="272"/>
      <c r="E106" s="272"/>
      <c r="F106" s="272"/>
      <c r="G106" s="272"/>
      <c r="H106" s="272"/>
      <c r="I106" s="272"/>
      <c r="J106" s="272"/>
      <c r="K106" s="272"/>
      <c r="L106" s="272" t="s">
        <v>7</v>
      </c>
      <c r="M106" s="272"/>
      <c r="N106" s="272"/>
      <c r="O106" s="272"/>
      <c r="P106" s="272"/>
      <c r="Q106" s="272"/>
      <c r="R106" s="272"/>
      <c r="S106" s="272"/>
      <c r="T106" s="272"/>
      <c r="U106" s="272"/>
      <c r="V106" s="272"/>
      <c r="W106" s="272"/>
    </row>
    <row r="107" spans="1:23" ht="6.6" customHeight="1" x14ac:dyDescent="0.3">
      <c r="A107" s="172"/>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row>
    <row r="108" spans="1:23" x14ac:dyDescent="0.3">
      <c r="A108" s="199" t="s">
        <v>202</v>
      </c>
      <c r="B108" s="208" t="s">
        <v>203</v>
      </c>
      <c r="C108" s="208"/>
      <c r="D108" s="208"/>
      <c r="E108" s="171"/>
      <c r="F108" s="171" t="s">
        <v>2</v>
      </c>
      <c r="G108" s="171"/>
      <c r="H108" s="171"/>
      <c r="I108" s="171"/>
      <c r="J108" s="171"/>
      <c r="K108" s="171"/>
      <c r="L108" s="171"/>
      <c r="M108" s="171"/>
      <c r="N108" s="171"/>
      <c r="O108" s="171"/>
      <c r="P108" s="171"/>
      <c r="Q108" s="171"/>
      <c r="R108" s="171"/>
      <c r="S108" s="171"/>
      <c r="T108" s="171"/>
      <c r="U108" s="171"/>
      <c r="V108" s="171"/>
      <c r="W108" s="171"/>
    </row>
    <row r="109" spans="1:23" x14ac:dyDescent="0.3">
      <c r="A109" s="172"/>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row>
    <row r="110" spans="1:23" x14ac:dyDescent="0.3">
      <c r="A110" s="172"/>
      <c r="B110" s="213" t="s">
        <v>142</v>
      </c>
      <c r="C110" s="268" t="s">
        <v>204</v>
      </c>
      <c r="D110" s="268"/>
      <c r="E110" s="268"/>
      <c r="F110" s="268"/>
      <c r="G110" s="268"/>
      <c r="H110" s="268"/>
      <c r="I110" s="268"/>
      <c r="J110" s="268"/>
      <c r="K110" s="268"/>
      <c r="L110" s="268" t="s">
        <v>205</v>
      </c>
      <c r="M110" s="268"/>
      <c r="N110" s="268"/>
      <c r="O110" s="268"/>
      <c r="P110" s="268"/>
      <c r="Q110" s="268"/>
      <c r="R110" s="268"/>
      <c r="S110" s="268"/>
      <c r="T110" s="268"/>
      <c r="U110" s="268"/>
      <c r="V110" s="268"/>
      <c r="W110" s="268"/>
    </row>
    <row r="111" spans="1:23" ht="11.4" customHeight="1" x14ac:dyDescent="0.3">
      <c r="A111" s="172"/>
      <c r="B111" s="214">
        <v>1</v>
      </c>
      <c r="C111" s="272" t="s">
        <v>206</v>
      </c>
      <c r="D111" s="272"/>
      <c r="E111" s="272"/>
      <c r="F111" s="272"/>
      <c r="G111" s="272"/>
      <c r="H111" s="272"/>
      <c r="I111" s="272"/>
      <c r="J111" s="272"/>
      <c r="K111" s="272"/>
      <c r="L111" s="272" t="s">
        <v>207</v>
      </c>
      <c r="M111" s="272"/>
      <c r="N111" s="272"/>
      <c r="O111" s="272"/>
      <c r="P111" s="272"/>
      <c r="Q111" s="272"/>
      <c r="R111" s="272"/>
      <c r="S111" s="272"/>
      <c r="T111" s="272"/>
      <c r="U111" s="272"/>
      <c r="V111" s="272"/>
      <c r="W111" s="272"/>
    </row>
    <row r="112" spans="1:23" ht="11.4" customHeight="1" x14ac:dyDescent="0.3">
      <c r="A112" s="172"/>
      <c r="B112" s="214">
        <v>2</v>
      </c>
      <c r="C112" s="272" t="s">
        <v>208</v>
      </c>
      <c r="D112" s="272"/>
      <c r="E112" s="272"/>
      <c r="F112" s="272"/>
      <c r="G112" s="272"/>
      <c r="H112" s="272"/>
      <c r="I112" s="272"/>
      <c r="J112" s="272"/>
      <c r="K112" s="272"/>
      <c r="L112" s="272" t="s">
        <v>209</v>
      </c>
      <c r="M112" s="272"/>
      <c r="N112" s="272"/>
      <c r="O112" s="272"/>
      <c r="P112" s="272"/>
      <c r="Q112" s="272"/>
      <c r="R112" s="272"/>
      <c r="S112" s="272"/>
      <c r="T112" s="272"/>
      <c r="U112" s="272"/>
      <c r="V112" s="272"/>
      <c r="W112" s="272"/>
    </row>
    <row r="113" spans="1:23" ht="11.4" customHeight="1" x14ac:dyDescent="0.3">
      <c r="A113" s="172"/>
      <c r="B113" s="214">
        <v>3</v>
      </c>
      <c r="C113" s="272" t="str">
        <f>DATA!D90</f>
        <v>-</v>
      </c>
      <c r="D113" s="272"/>
      <c r="E113" s="272"/>
      <c r="F113" s="272"/>
      <c r="G113" s="272"/>
      <c r="H113" s="272"/>
      <c r="I113" s="272"/>
      <c r="J113" s="272"/>
      <c r="K113" s="272"/>
      <c r="L113" s="272" t="str">
        <f>DATA!D91</f>
        <v>-</v>
      </c>
      <c r="M113" s="272"/>
      <c r="N113" s="272"/>
      <c r="O113" s="272"/>
      <c r="P113" s="272"/>
      <c r="Q113" s="272"/>
      <c r="R113" s="272"/>
      <c r="S113" s="272"/>
      <c r="T113" s="272"/>
      <c r="U113" s="272"/>
      <c r="V113" s="272"/>
      <c r="W113" s="272"/>
    </row>
    <row r="114" spans="1:23" x14ac:dyDescent="0.3">
      <c r="A114" s="172"/>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row>
    <row r="115" spans="1:23" x14ac:dyDescent="0.3">
      <c r="A115" s="199" t="s">
        <v>210</v>
      </c>
      <c r="B115" s="208" t="s">
        <v>211</v>
      </c>
      <c r="C115" s="208"/>
      <c r="D115" s="208"/>
      <c r="E115" s="208"/>
      <c r="F115" s="171" t="s">
        <v>2</v>
      </c>
      <c r="G115" s="171"/>
      <c r="H115" s="171"/>
      <c r="I115" s="171"/>
      <c r="J115" s="171"/>
      <c r="K115" s="171"/>
      <c r="L115" s="171"/>
      <c r="M115" s="171"/>
      <c r="N115" s="171"/>
      <c r="O115" s="171"/>
      <c r="P115" s="171"/>
      <c r="Q115" s="171"/>
      <c r="R115" s="171"/>
      <c r="S115" s="171"/>
      <c r="T115" s="171"/>
      <c r="U115" s="171"/>
      <c r="V115" s="171"/>
      <c r="W115" s="171"/>
    </row>
    <row r="116" spans="1:23" ht="15" customHeight="1" x14ac:dyDescent="0.3">
      <c r="A116" s="172"/>
      <c r="B116" s="204" t="s">
        <v>133</v>
      </c>
      <c r="C116" s="202" t="s">
        <v>212</v>
      </c>
      <c r="D116" s="202"/>
      <c r="E116" s="202"/>
      <c r="F116" s="202"/>
      <c r="G116" s="202"/>
      <c r="H116" s="202" t="s">
        <v>2</v>
      </c>
      <c r="I116" s="233" t="str">
        <f>DATA!D31</f>
        <v>Minimal Pengatur Muda (II/a)</v>
      </c>
      <c r="J116" s="233"/>
      <c r="K116" s="233"/>
      <c r="L116" s="233"/>
      <c r="M116" s="233"/>
      <c r="N116" s="233"/>
      <c r="O116" s="233"/>
      <c r="P116" s="233"/>
      <c r="Q116" s="233"/>
      <c r="R116" s="233"/>
      <c r="S116" s="233"/>
      <c r="T116" s="233"/>
      <c r="U116" s="233"/>
      <c r="V116" s="233"/>
      <c r="W116" s="233"/>
    </row>
    <row r="117" spans="1:23" ht="24" customHeight="1" x14ac:dyDescent="0.3">
      <c r="A117" s="172"/>
      <c r="B117" s="204" t="s">
        <v>134</v>
      </c>
      <c r="C117" s="202" t="s">
        <v>213</v>
      </c>
      <c r="D117" s="202"/>
      <c r="E117" s="202"/>
      <c r="F117" s="202"/>
      <c r="G117" s="202"/>
      <c r="H117" s="202" t="s">
        <v>2</v>
      </c>
      <c r="I117" s="233" t="str">
        <f>DATA!D11</f>
        <v>SLTA Sederajat/D-3(Diploma-Tiga) bidang yang relevan dengan tugas jabatan</v>
      </c>
      <c r="J117" s="233"/>
      <c r="K117" s="233"/>
      <c r="L117" s="233"/>
      <c r="M117" s="233"/>
      <c r="N117" s="233"/>
      <c r="O117" s="233"/>
      <c r="P117" s="233"/>
      <c r="Q117" s="233"/>
      <c r="R117" s="233"/>
      <c r="S117" s="233"/>
      <c r="T117" s="233"/>
      <c r="U117" s="233"/>
      <c r="V117" s="233"/>
      <c r="W117" s="233"/>
    </row>
    <row r="118" spans="1:23" x14ac:dyDescent="0.3">
      <c r="A118" s="172"/>
      <c r="B118" s="204" t="s">
        <v>135</v>
      </c>
      <c r="C118" s="202" t="s">
        <v>214</v>
      </c>
      <c r="D118" s="202"/>
      <c r="E118" s="202"/>
      <c r="F118" s="202"/>
      <c r="G118" s="202"/>
      <c r="H118" s="202" t="s">
        <v>2</v>
      </c>
      <c r="I118" s="203"/>
      <c r="J118" s="203"/>
      <c r="K118" s="203"/>
      <c r="L118" s="203"/>
      <c r="M118" s="203"/>
      <c r="N118" s="203"/>
      <c r="O118" s="203"/>
      <c r="P118" s="203"/>
      <c r="Q118" s="203"/>
      <c r="R118" s="203"/>
      <c r="S118" s="203"/>
      <c r="T118" s="203"/>
      <c r="U118" s="203"/>
      <c r="V118" s="203"/>
      <c r="W118" s="203"/>
    </row>
    <row r="119" spans="1:23" x14ac:dyDescent="0.3">
      <c r="A119" s="172"/>
      <c r="B119" s="204"/>
      <c r="C119" s="202" t="s">
        <v>215</v>
      </c>
      <c r="D119" s="202" t="s">
        <v>216</v>
      </c>
      <c r="E119" s="202"/>
      <c r="F119" s="202"/>
      <c r="G119" s="202"/>
      <c r="H119" s="202" t="s">
        <v>2</v>
      </c>
      <c r="I119" s="274" t="str">
        <f>DATA!D32</f>
        <v>-</v>
      </c>
      <c r="J119" s="274"/>
      <c r="K119" s="274"/>
      <c r="L119" s="274"/>
      <c r="M119" s="274"/>
      <c r="N119" s="274"/>
      <c r="O119" s="274"/>
      <c r="P119" s="274"/>
      <c r="Q119" s="274"/>
      <c r="R119" s="274"/>
      <c r="S119" s="274"/>
      <c r="T119" s="274"/>
      <c r="U119" s="274"/>
      <c r="V119" s="274"/>
      <c r="W119" s="274"/>
    </row>
    <row r="120" spans="1:23" x14ac:dyDescent="0.3">
      <c r="A120" s="172"/>
      <c r="B120" s="204"/>
      <c r="C120" s="202" t="s">
        <v>217</v>
      </c>
      <c r="D120" s="202" t="s">
        <v>218</v>
      </c>
      <c r="E120" s="202"/>
      <c r="F120" s="202"/>
      <c r="G120" s="202"/>
      <c r="H120" s="202" t="s">
        <v>2</v>
      </c>
      <c r="I120" s="233" t="s">
        <v>219</v>
      </c>
      <c r="J120" s="233"/>
      <c r="K120" s="233"/>
      <c r="L120" s="233"/>
      <c r="M120" s="233"/>
      <c r="N120" s="233"/>
      <c r="O120" s="233"/>
      <c r="P120" s="233"/>
      <c r="Q120" s="233"/>
      <c r="R120" s="233"/>
      <c r="S120" s="233"/>
      <c r="T120" s="233"/>
      <c r="U120" s="233"/>
      <c r="V120" s="233"/>
      <c r="W120" s="233"/>
    </row>
    <row r="121" spans="1:23" ht="27" customHeight="1" x14ac:dyDescent="0.3">
      <c r="A121" s="172"/>
      <c r="B121" s="204" t="s">
        <v>136</v>
      </c>
      <c r="C121" s="202" t="s">
        <v>220</v>
      </c>
      <c r="D121" s="202"/>
      <c r="E121" s="202"/>
      <c r="F121" s="202"/>
      <c r="G121" s="202"/>
      <c r="H121" s="202" t="s">
        <v>2</v>
      </c>
      <c r="I121" s="233" t="str">
        <f>DATA!D33</f>
        <v>-</v>
      </c>
      <c r="J121" s="233"/>
      <c r="K121" s="233"/>
      <c r="L121" s="233"/>
      <c r="M121" s="233"/>
      <c r="N121" s="233"/>
      <c r="O121" s="233"/>
      <c r="P121" s="233"/>
      <c r="Q121" s="233"/>
      <c r="R121" s="233"/>
      <c r="S121" s="233"/>
      <c r="T121" s="233"/>
      <c r="U121" s="233"/>
      <c r="V121" s="233"/>
      <c r="W121" s="233"/>
    </row>
    <row r="122" spans="1:23" x14ac:dyDescent="0.3">
      <c r="A122" s="172"/>
      <c r="B122" s="204" t="s">
        <v>137</v>
      </c>
      <c r="C122" s="202" t="s">
        <v>221</v>
      </c>
      <c r="D122" s="202"/>
      <c r="E122" s="202"/>
      <c r="F122" s="202"/>
      <c r="G122" s="202"/>
      <c r="H122" s="202" t="s">
        <v>2</v>
      </c>
      <c r="I122" s="233" t="s">
        <v>222</v>
      </c>
      <c r="J122" s="233"/>
      <c r="K122" s="233"/>
      <c r="L122" s="233"/>
      <c r="M122" s="233"/>
      <c r="N122" s="233"/>
      <c r="O122" s="233"/>
      <c r="P122" s="233"/>
      <c r="Q122" s="233"/>
      <c r="R122" s="233"/>
      <c r="S122" s="233"/>
      <c r="T122" s="233"/>
      <c r="U122" s="233"/>
      <c r="V122" s="233"/>
      <c r="W122" s="233"/>
    </row>
    <row r="123" spans="1:23" x14ac:dyDescent="0.3">
      <c r="A123" s="172"/>
      <c r="B123" s="204" t="s">
        <v>138</v>
      </c>
      <c r="C123" s="202" t="s">
        <v>223</v>
      </c>
      <c r="D123" s="202"/>
      <c r="E123" s="202"/>
      <c r="F123" s="202"/>
      <c r="G123" s="202"/>
      <c r="H123" s="202" t="s">
        <v>2</v>
      </c>
      <c r="I123" s="233" t="s">
        <v>224</v>
      </c>
      <c r="J123" s="233"/>
      <c r="K123" s="233"/>
      <c r="L123" s="233"/>
      <c r="M123" s="233"/>
      <c r="N123" s="233"/>
      <c r="O123" s="233"/>
      <c r="P123" s="233"/>
      <c r="Q123" s="233"/>
      <c r="R123" s="233"/>
      <c r="S123" s="233"/>
      <c r="T123" s="233"/>
      <c r="U123" s="233"/>
      <c r="V123" s="233"/>
      <c r="W123" s="233"/>
    </row>
    <row r="124" spans="1:23" x14ac:dyDescent="0.3">
      <c r="A124" s="172"/>
      <c r="B124" s="204" t="s">
        <v>139</v>
      </c>
      <c r="C124" s="202" t="s">
        <v>225</v>
      </c>
      <c r="D124" s="202"/>
      <c r="E124" s="202"/>
      <c r="F124" s="202"/>
      <c r="G124" s="202"/>
      <c r="H124" s="202" t="s">
        <v>2</v>
      </c>
      <c r="I124" s="202"/>
      <c r="J124" s="202"/>
      <c r="K124" s="202"/>
      <c r="L124" s="202"/>
      <c r="M124" s="202"/>
      <c r="N124" s="202"/>
      <c r="O124" s="202"/>
      <c r="P124" s="202"/>
      <c r="Q124" s="202"/>
      <c r="R124" s="202"/>
      <c r="S124" s="202"/>
      <c r="T124" s="202"/>
      <c r="U124" s="202"/>
      <c r="V124" s="202"/>
      <c r="W124" s="202"/>
    </row>
    <row r="125" spans="1:23" x14ac:dyDescent="0.3">
      <c r="A125" s="172"/>
      <c r="B125" s="204"/>
      <c r="C125" s="202" t="s">
        <v>215</v>
      </c>
      <c r="D125" s="202" t="s">
        <v>226</v>
      </c>
      <c r="E125" s="202" t="s">
        <v>227</v>
      </c>
      <c r="F125" s="233" t="s">
        <v>228</v>
      </c>
      <c r="G125" s="233"/>
      <c r="H125" s="233"/>
      <c r="I125" s="233"/>
      <c r="J125" s="233"/>
      <c r="K125" s="233"/>
      <c r="L125" s="233"/>
      <c r="M125" s="233"/>
      <c r="N125" s="233"/>
      <c r="O125" s="233"/>
      <c r="P125" s="233"/>
      <c r="Q125" s="233"/>
      <c r="R125" s="233"/>
      <c r="S125" s="233"/>
      <c r="T125" s="233"/>
      <c r="U125" s="233"/>
      <c r="V125" s="233"/>
      <c r="W125" s="233"/>
    </row>
    <row r="126" spans="1:23" x14ac:dyDescent="0.3">
      <c r="A126" s="172"/>
      <c r="B126" s="204"/>
      <c r="C126" s="202" t="s">
        <v>217</v>
      </c>
      <c r="D126" s="202" t="s">
        <v>229</v>
      </c>
      <c r="E126" s="202" t="s">
        <v>227</v>
      </c>
      <c r="F126" s="233" t="s">
        <v>230</v>
      </c>
      <c r="G126" s="233"/>
      <c r="H126" s="233"/>
      <c r="I126" s="233"/>
      <c r="J126" s="233"/>
      <c r="K126" s="233"/>
      <c r="L126" s="233"/>
      <c r="M126" s="233"/>
      <c r="N126" s="233"/>
      <c r="O126" s="233"/>
      <c r="P126" s="233"/>
      <c r="Q126" s="233"/>
      <c r="R126" s="233"/>
      <c r="S126" s="233"/>
      <c r="T126" s="233"/>
      <c r="U126" s="233"/>
      <c r="V126" s="233"/>
      <c r="W126" s="233"/>
    </row>
    <row r="127" spans="1:23" x14ac:dyDescent="0.3">
      <c r="A127" s="172"/>
      <c r="B127" s="204" t="s">
        <v>231</v>
      </c>
      <c r="C127" s="202" t="s">
        <v>232</v>
      </c>
      <c r="D127" s="202"/>
      <c r="E127" s="202"/>
      <c r="F127" s="202"/>
      <c r="G127" s="202"/>
      <c r="H127" s="202"/>
      <c r="I127" s="202"/>
      <c r="J127" s="202"/>
      <c r="K127" s="202"/>
      <c r="L127" s="202"/>
      <c r="M127" s="202"/>
      <c r="N127" s="202"/>
      <c r="O127" s="202"/>
      <c r="P127" s="202"/>
      <c r="Q127" s="202"/>
      <c r="R127" s="202"/>
      <c r="S127" s="202"/>
      <c r="T127" s="202"/>
      <c r="U127" s="202"/>
      <c r="V127" s="202"/>
      <c r="W127" s="202"/>
    </row>
    <row r="128" spans="1:23" ht="25.95" customHeight="1" x14ac:dyDescent="0.3">
      <c r="A128" s="172"/>
      <c r="B128" s="202"/>
      <c r="C128" s="202" t="s">
        <v>215</v>
      </c>
      <c r="D128" s="150" t="s">
        <v>233</v>
      </c>
      <c r="E128" s="217"/>
      <c r="F128" s="217"/>
      <c r="G128" s="150" t="s">
        <v>227</v>
      </c>
      <c r="H128" s="273" t="s">
        <v>234</v>
      </c>
      <c r="I128" s="273"/>
      <c r="J128" s="273"/>
      <c r="K128" s="273"/>
      <c r="L128" s="273"/>
      <c r="M128" s="273"/>
      <c r="N128" s="273"/>
      <c r="O128" s="273"/>
      <c r="P128" s="273"/>
      <c r="Q128" s="273"/>
      <c r="R128" s="273"/>
      <c r="S128" s="273"/>
      <c r="T128" s="273"/>
      <c r="U128" s="273"/>
      <c r="V128" s="273"/>
      <c r="W128" s="273"/>
    </row>
    <row r="129" spans="1:23" ht="25.95" customHeight="1" x14ac:dyDescent="0.3">
      <c r="A129" s="172"/>
      <c r="B129" s="202"/>
      <c r="C129" s="202" t="s">
        <v>217</v>
      </c>
      <c r="D129" s="150" t="s">
        <v>235</v>
      </c>
      <c r="E129" s="217"/>
      <c r="F129" s="217"/>
      <c r="G129" s="150" t="s">
        <v>227</v>
      </c>
      <c r="H129" s="273" t="s">
        <v>236</v>
      </c>
      <c r="I129" s="273"/>
      <c r="J129" s="273"/>
      <c r="K129" s="273"/>
      <c r="L129" s="273"/>
      <c r="M129" s="273"/>
      <c r="N129" s="273"/>
      <c r="O129" s="273"/>
      <c r="P129" s="273"/>
      <c r="Q129" s="273"/>
      <c r="R129" s="273"/>
      <c r="S129" s="273"/>
      <c r="T129" s="273"/>
      <c r="U129" s="273"/>
      <c r="V129" s="273"/>
      <c r="W129" s="273"/>
    </row>
    <row r="130" spans="1:23" ht="25.95" customHeight="1" x14ac:dyDescent="0.3">
      <c r="A130" s="172"/>
      <c r="B130" s="202"/>
      <c r="C130" s="202" t="s">
        <v>237</v>
      </c>
      <c r="D130" s="150" t="s">
        <v>238</v>
      </c>
      <c r="E130" s="217"/>
      <c r="F130" s="217"/>
      <c r="G130" s="150" t="s">
        <v>227</v>
      </c>
      <c r="H130" s="273" t="s">
        <v>239</v>
      </c>
      <c r="I130" s="273"/>
      <c r="J130" s="273"/>
      <c r="K130" s="273"/>
      <c r="L130" s="273"/>
      <c r="M130" s="273"/>
      <c r="N130" s="273"/>
      <c r="O130" s="273"/>
      <c r="P130" s="273"/>
      <c r="Q130" s="273"/>
      <c r="R130" s="273"/>
      <c r="S130" s="273"/>
      <c r="T130" s="273"/>
      <c r="U130" s="273"/>
      <c r="V130" s="273"/>
      <c r="W130" s="273"/>
    </row>
    <row r="131" spans="1:23" x14ac:dyDescent="0.3">
      <c r="A131" s="172"/>
      <c r="B131" s="202" t="s">
        <v>240</v>
      </c>
      <c r="C131" s="202" t="s">
        <v>241</v>
      </c>
      <c r="D131" s="202"/>
      <c r="E131" s="202"/>
      <c r="F131" s="202" t="s">
        <v>2</v>
      </c>
      <c r="G131" s="202"/>
      <c r="H131" s="202"/>
      <c r="I131" s="202"/>
      <c r="J131" s="202"/>
      <c r="K131" s="202"/>
      <c r="L131" s="202"/>
      <c r="M131" s="202"/>
      <c r="N131" s="202"/>
      <c r="O131" s="202"/>
      <c r="P131" s="202"/>
      <c r="Q131" s="202"/>
      <c r="R131" s="202"/>
      <c r="S131" s="202"/>
      <c r="T131" s="202"/>
      <c r="U131" s="202"/>
      <c r="V131" s="202"/>
      <c r="W131" s="202"/>
    </row>
    <row r="132" spans="1:23" ht="29.25" customHeight="1" x14ac:dyDescent="0.3">
      <c r="A132" s="172"/>
      <c r="B132" s="202"/>
      <c r="C132" s="202" t="s">
        <v>215</v>
      </c>
      <c r="D132" s="150" t="s">
        <v>242</v>
      </c>
      <c r="E132" s="150"/>
      <c r="F132" s="150"/>
      <c r="G132" s="150"/>
      <c r="H132" s="150" t="s">
        <v>2</v>
      </c>
      <c r="I132" s="233" t="s">
        <v>243</v>
      </c>
      <c r="J132" s="233"/>
      <c r="K132" s="233"/>
      <c r="L132" s="233"/>
      <c r="M132" s="233"/>
      <c r="N132" s="233"/>
      <c r="O132" s="233"/>
      <c r="P132" s="233"/>
      <c r="Q132" s="233"/>
      <c r="R132" s="233"/>
      <c r="S132" s="233"/>
      <c r="T132" s="233"/>
      <c r="U132" s="233"/>
      <c r="V132" s="233"/>
      <c r="W132" s="233"/>
    </row>
    <row r="133" spans="1:23" ht="30" customHeight="1" x14ac:dyDescent="0.3">
      <c r="A133" s="172"/>
      <c r="B133" s="202"/>
      <c r="C133" s="202" t="s">
        <v>217</v>
      </c>
      <c r="D133" s="150" t="s">
        <v>244</v>
      </c>
      <c r="E133" s="150"/>
      <c r="F133" s="150"/>
      <c r="G133" s="150"/>
      <c r="H133" s="150" t="s">
        <v>2</v>
      </c>
      <c r="I133" s="233" t="s">
        <v>245</v>
      </c>
      <c r="J133" s="233"/>
      <c r="K133" s="233"/>
      <c r="L133" s="233"/>
      <c r="M133" s="233"/>
      <c r="N133" s="233"/>
      <c r="O133" s="233"/>
      <c r="P133" s="233"/>
      <c r="Q133" s="233"/>
      <c r="R133" s="233"/>
      <c r="S133" s="233"/>
      <c r="T133" s="233"/>
      <c r="U133" s="233"/>
      <c r="V133" s="233"/>
      <c r="W133" s="233"/>
    </row>
    <row r="134" spans="1:23" x14ac:dyDescent="0.3">
      <c r="A134" s="172"/>
      <c r="B134" s="202" t="s">
        <v>246</v>
      </c>
      <c r="C134" s="171" t="s">
        <v>247</v>
      </c>
      <c r="D134" s="171"/>
      <c r="E134" s="171"/>
      <c r="F134" s="171" t="s">
        <v>2</v>
      </c>
      <c r="G134" s="171"/>
      <c r="H134" s="171"/>
      <c r="I134" s="171"/>
      <c r="J134" s="171"/>
      <c r="K134" s="171"/>
      <c r="L134" s="171"/>
      <c r="M134" s="171"/>
      <c r="N134" s="171"/>
      <c r="O134" s="171"/>
      <c r="P134" s="171"/>
      <c r="Q134" s="171"/>
      <c r="R134" s="171"/>
      <c r="S134" s="171"/>
      <c r="T134" s="171"/>
      <c r="U134" s="171"/>
      <c r="V134" s="171"/>
      <c r="W134" s="171"/>
    </row>
    <row r="135" spans="1:23" x14ac:dyDescent="0.3">
      <c r="A135" s="172"/>
      <c r="B135" s="202"/>
      <c r="C135" s="171" t="s">
        <v>215</v>
      </c>
      <c r="D135" s="171" t="s">
        <v>248</v>
      </c>
      <c r="E135" s="171"/>
      <c r="F135" s="171"/>
      <c r="G135" s="171"/>
      <c r="H135" s="171"/>
      <c r="I135" s="171"/>
      <c r="J135" s="171"/>
      <c r="K135" s="171"/>
      <c r="L135" s="171"/>
      <c r="M135" s="171"/>
      <c r="N135" s="171"/>
      <c r="O135" s="171"/>
      <c r="P135" s="171"/>
      <c r="Q135" s="171"/>
      <c r="R135" s="171"/>
      <c r="S135" s="171"/>
      <c r="T135" s="171"/>
      <c r="U135" s="171"/>
      <c r="V135" s="171"/>
      <c r="W135" s="171"/>
    </row>
    <row r="136" spans="1:23" x14ac:dyDescent="0.3">
      <c r="A136" s="172"/>
      <c r="B136" s="202"/>
      <c r="C136" s="171" t="s">
        <v>217</v>
      </c>
      <c r="D136" s="171" t="s">
        <v>249</v>
      </c>
      <c r="E136" s="171"/>
      <c r="F136" s="171"/>
      <c r="G136" s="171"/>
      <c r="H136" s="171"/>
      <c r="I136" s="171"/>
      <c r="J136" s="171"/>
      <c r="K136" s="171"/>
      <c r="L136" s="171"/>
      <c r="M136" s="171"/>
      <c r="N136" s="171"/>
      <c r="O136" s="171"/>
      <c r="P136" s="171"/>
      <c r="Q136" s="171"/>
      <c r="R136" s="171"/>
      <c r="S136" s="171"/>
      <c r="T136" s="171"/>
      <c r="U136" s="171"/>
      <c r="V136" s="171"/>
      <c r="W136" s="171"/>
    </row>
    <row r="137" spans="1:23" x14ac:dyDescent="0.3">
      <c r="A137" s="172"/>
      <c r="B137" s="202"/>
      <c r="C137" s="171" t="s">
        <v>237</v>
      </c>
      <c r="D137" s="171" t="s">
        <v>250</v>
      </c>
      <c r="E137" s="171"/>
      <c r="F137" s="171"/>
      <c r="G137" s="171"/>
      <c r="H137" s="171"/>
      <c r="I137" s="171"/>
      <c r="J137" s="171"/>
      <c r="K137" s="171"/>
      <c r="L137" s="171"/>
      <c r="M137" s="171"/>
      <c r="N137" s="171"/>
      <c r="O137" s="171"/>
      <c r="P137" s="171"/>
      <c r="Q137" s="171"/>
      <c r="R137" s="171"/>
      <c r="S137" s="171"/>
      <c r="T137" s="171"/>
      <c r="U137" s="171"/>
      <c r="V137" s="171"/>
      <c r="W137" s="171"/>
    </row>
    <row r="138" spans="1:23" x14ac:dyDescent="0.3">
      <c r="A138" s="172"/>
      <c r="B138" s="202"/>
      <c r="C138" s="171" t="s">
        <v>251</v>
      </c>
      <c r="D138" s="171" t="s">
        <v>252</v>
      </c>
      <c r="E138" s="171"/>
      <c r="F138" s="171"/>
      <c r="G138" s="171"/>
      <c r="H138" s="171"/>
      <c r="I138" s="171"/>
      <c r="J138" s="171"/>
      <c r="K138" s="171"/>
      <c r="L138" s="171"/>
      <c r="M138" s="171"/>
      <c r="N138" s="171"/>
      <c r="O138" s="171"/>
      <c r="P138" s="171"/>
      <c r="Q138" s="171"/>
      <c r="R138" s="171"/>
      <c r="S138" s="171"/>
      <c r="T138" s="171"/>
      <c r="U138" s="171"/>
      <c r="V138" s="171"/>
      <c r="W138" s="171"/>
    </row>
    <row r="139" spans="1:23" x14ac:dyDescent="0.3">
      <c r="A139" s="172"/>
      <c r="B139" s="202" t="s">
        <v>253</v>
      </c>
      <c r="C139" s="171" t="s">
        <v>254</v>
      </c>
      <c r="D139" s="171"/>
      <c r="E139" s="171"/>
      <c r="F139" s="171" t="s">
        <v>2</v>
      </c>
      <c r="G139" s="171"/>
      <c r="H139" s="171"/>
      <c r="I139" s="171"/>
      <c r="J139" s="171"/>
      <c r="K139" s="171"/>
      <c r="L139" s="171"/>
      <c r="M139" s="171"/>
      <c r="N139" s="171"/>
      <c r="O139" s="171"/>
      <c r="P139" s="171"/>
      <c r="Q139" s="171"/>
      <c r="R139" s="171"/>
      <c r="S139" s="171"/>
      <c r="T139" s="171"/>
      <c r="U139" s="171"/>
      <c r="V139" s="171"/>
      <c r="W139" s="171"/>
    </row>
    <row r="140" spans="1:23" x14ac:dyDescent="0.3">
      <c r="A140" s="172"/>
      <c r="B140" s="202"/>
      <c r="C140" s="171" t="s">
        <v>215</v>
      </c>
      <c r="D140" s="171" t="s">
        <v>255</v>
      </c>
      <c r="E140" s="171"/>
      <c r="F140" s="171"/>
      <c r="G140" s="171"/>
      <c r="H140" s="171" t="s">
        <v>2</v>
      </c>
      <c r="I140" s="171" t="s">
        <v>256</v>
      </c>
      <c r="J140" s="171"/>
      <c r="K140" s="171"/>
      <c r="L140" s="171"/>
      <c r="M140" s="171"/>
      <c r="N140" s="171"/>
      <c r="O140" s="171"/>
      <c r="P140" s="171"/>
      <c r="Q140" s="171"/>
      <c r="R140" s="171"/>
      <c r="S140" s="171"/>
      <c r="T140" s="171"/>
      <c r="U140" s="171"/>
      <c r="V140" s="171"/>
      <c r="W140" s="171"/>
    </row>
    <row r="141" spans="1:23" x14ac:dyDescent="0.3">
      <c r="A141" s="172"/>
      <c r="B141" s="202"/>
      <c r="C141" s="171" t="s">
        <v>217</v>
      </c>
      <c r="D141" s="171" t="s">
        <v>257</v>
      </c>
      <c r="E141" s="171"/>
      <c r="F141" s="171"/>
      <c r="G141" s="171"/>
      <c r="H141" s="171" t="s">
        <v>2</v>
      </c>
      <c r="I141" s="171" t="s">
        <v>258</v>
      </c>
      <c r="J141" s="171"/>
      <c r="K141" s="171"/>
      <c r="L141" s="171"/>
      <c r="M141" s="171"/>
      <c r="N141" s="171"/>
      <c r="O141" s="171"/>
      <c r="P141" s="171"/>
      <c r="Q141" s="171"/>
      <c r="R141" s="171"/>
      <c r="S141" s="171"/>
      <c r="T141" s="171"/>
      <c r="U141" s="171"/>
      <c r="V141" s="171"/>
      <c r="W141" s="171"/>
    </row>
    <row r="142" spans="1:23" x14ac:dyDescent="0.3">
      <c r="A142" s="172"/>
      <c r="B142" s="202"/>
      <c r="C142" s="171" t="s">
        <v>237</v>
      </c>
      <c r="D142" s="171" t="s">
        <v>259</v>
      </c>
      <c r="E142" s="171"/>
      <c r="F142" s="171"/>
      <c r="G142" s="171"/>
      <c r="H142" s="171" t="s">
        <v>2</v>
      </c>
      <c r="I142" s="171" t="s">
        <v>258</v>
      </c>
      <c r="J142" s="171"/>
      <c r="K142" s="171"/>
      <c r="L142" s="171"/>
      <c r="M142" s="171"/>
      <c r="N142" s="171"/>
      <c r="O142" s="171"/>
      <c r="P142" s="171"/>
      <c r="Q142" s="171"/>
      <c r="R142" s="171"/>
      <c r="S142" s="171"/>
      <c r="T142" s="171"/>
      <c r="U142" s="171"/>
      <c r="V142" s="171"/>
      <c r="W142" s="171"/>
    </row>
    <row r="143" spans="1:23" x14ac:dyDescent="0.3">
      <c r="A143" s="172"/>
      <c r="B143" s="202"/>
      <c r="C143" s="171" t="s">
        <v>251</v>
      </c>
      <c r="D143" s="171" t="s">
        <v>260</v>
      </c>
      <c r="E143" s="171"/>
      <c r="F143" s="171"/>
      <c r="G143" s="171"/>
      <c r="H143" s="171" t="s">
        <v>2</v>
      </c>
      <c r="I143" s="171" t="s">
        <v>258</v>
      </c>
      <c r="J143" s="171"/>
      <c r="K143" s="171"/>
      <c r="L143" s="171"/>
      <c r="M143" s="171"/>
      <c r="N143" s="171"/>
      <c r="O143" s="171"/>
      <c r="P143" s="171"/>
      <c r="Q143" s="171"/>
      <c r="R143" s="171"/>
      <c r="S143" s="171"/>
      <c r="T143" s="171"/>
      <c r="U143" s="171"/>
      <c r="V143" s="171"/>
      <c r="W143" s="171"/>
    </row>
    <row r="144" spans="1:23" x14ac:dyDescent="0.3">
      <c r="A144" s="172"/>
      <c r="B144" s="202"/>
      <c r="C144" s="171" t="s">
        <v>261</v>
      </c>
      <c r="D144" s="171" t="s">
        <v>262</v>
      </c>
      <c r="E144" s="171"/>
      <c r="F144" s="171"/>
      <c r="G144" s="171"/>
      <c r="H144" s="171" t="s">
        <v>2</v>
      </c>
      <c r="I144" s="171" t="s">
        <v>258</v>
      </c>
      <c r="J144" s="171"/>
      <c r="K144" s="171"/>
      <c r="L144" s="171"/>
      <c r="M144" s="171"/>
      <c r="N144" s="171"/>
      <c r="O144" s="171"/>
      <c r="P144" s="171"/>
      <c r="Q144" s="171"/>
      <c r="R144" s="171"/>
      <c r="S144" s="171"/>
      <c r="T144" s="171"/>
      <c r="U144" s="171"/>
      <c r="V144" s="171"/>
      <c r="W144" s="171"/>
    </row>
    <row r="145" spans="1:23" x14ac:dyDescent="0.3">
      <c r="A145" s="172"/>
      <c r="B145" s="202"/>
      <c r="C145" s="171" t="s">
        <v>263</v>
      </c>
      <c r="D145" s="171" t="s">
        <v>264</v>
      </c>
      <c r="E145" s="171"/>
      <c r="F145" s="171"/>
      <c r="G145" s="171"/>
      <c r="H145" s="171" t="s">
        <v>2</v>
      </c>
      <c r="I145" s="171" t="s">
        <v>265</v>
      </c>
      <c r="J145" s="171"/>
      <c r="K145" s="171"/>
      <c r="L145" s="171"/>
      <c r="M145" s="171"/>
      <c r="N145" s="171"/>
      <c r="O145" s="171"/>
      <c r="P145" s="171"/>
      <c r="Q145" s="171"/>
      <c r="R145" s="171"/>
      <c r="S145" s="171"/>
      <c r="T145" s="171"/>
      <c r="U145" s="171"/>
      <c r="V145" s="171"/>
      <c r="W145" s="171"/>
    </row>
    <row r="146" spans="1:23" x14ac:dyDescent="0.3">
      <c r="A146" s="172"/>
      <c r="B146" s="202" t="s">
        <v>266</v>
      </c>
      <c r="C146" s="171" t="s">
        <v>267</v>
      </c>
      <c r="D146" s="171"/>
      <c r="E146" s="171"/>
      <c r="F146" s="171"/>
      <c r="G146" s="171" t="s">
        <v>2</v>
      </c>
      <c r="H146" s="171"/>
      <c r="I146" s="171"/>
      <c r="J146" s="171"/>
      <c r="K146" s="171"/>
      <c r="L146" s="171"/>
      <c r="M146" s="171"/>
      <c r="N146" s="171"/>
      <c r="O146" s="171"/>
      <c r="P146" s="171"/>
      <c r="Q146" s="171"/>
      <c r="R146" s="171"/>
      <c r="S146" s="171"/>
      <c r="T146" s="171"/>
      <c r="U146" s="171"/>
      <c r="V146" s="171"/>
      <c r="W146" s="171"/>
    </row>
    <row r="147" spans="1:23" x14ac:dyDescent="0.3">
      <c r="A147" s="172"/>
      <c r="B147" s="202"/>
      <c r="C147" s="171" t="s">
        <v>215</v>
      </c>
      <c r="D147" s="171" t="s">
        <v>268</v>
      </c>
      <c r="E147" s="171"/>
      <c r="F147" s="171" t="s">
        <v>2</v>
      </c>
      <c r="G147" s="171" t="s">
        <v>269</v>
      </c>
      <c r="H147" s="171" t="s">
        <v>227</v>
      </c>
      <c r="I147" s="171" t="s">
        <v>270</v>
      </c>
      <c r="J147" s="171"/>
      <c r="K147" s="171"/>
      <c r="L147" s="171"/>
      <c r="M147" s="171"/>
      <c r="N147" s="171"/>
      <c r="O147" s="171"/>
      <c r="P147" s="171"/>
      <c r="Q147" s="171"/>
      <c r="R147" s="171"/>
      <c r="S147" s="171"/>
      <c r="T147" s="171"/>
      <c r="U147" s="171"/>
      <c r="V147" s="171"/>
      <c r="W147" s="171"/>
    </row>
    <row r="148" spans="1:23" x14ac:dyDescent="0.3">
      <c r="A148" s="172"/>
      <c r="B148" s="202"/>
      <c r="C148" s="171" t="s">
        <v>217</v>
      </c>
      <c r="D148" s="171" t="s">
        <v>271</v>
      </c>
      <c r="E148" s="171"/>
      <c r="F148" s="171" t="s">
        <v>2</v>
      </c>
      <c r="G148" s="218" t="s">
        <v>272</v>
      </c>
      <c r="H148" s="218" t="s">
        <v>227</v>
      </c>
      <c r="I148" s="276" t="s">
        <v>273</v>
      </c>
      <c r="J148" s="276"/>
      <c r="K148" s="276"/>
      <c r="L148" s="276"/>
      <c r="M148" s="276"/>
      <c r="N148" s="276"/>
      <c r="O148" s="276"/>
      <c r="P148" s="276"/>
      <c r="Q148" s="276"/>
      <c r="R148" s="276"/>
      <c r="S148" s="276"/>
      <c r="T148" s="276"/>
      <c r="U148" s="276"/>
      <c r="V148" s="276"/>
      <c r="W148" s="276"/>
    </row>
    <row r="149" spans="1:23" x14ac:dyDescent="0.3">
      <c r="A149" s="172"/>
      <c r="B149" s="171"/>
      <c r="C149" s="171" t="s">
        <v>237</v>
      </c>
      <c r="D149" s="171" t="s">
        <v>274</v>
      </c>
      <c r="E149" s="171"/>
      <c r="F149" s="171" t="s">
        <v>2</v>
      </c>
      <c r="G149" s="171" t="s">
        <v>275</v>
      </c>
      <c r="H149" s="171" t="s">
        <v>227</v>
      </c>
      <c r="I149" s="275" t="s">
        <v>276</v>
      </c>
      <c r="J149" s="275"/>
      <c r="K149" s="275"/>
      <c r="L149" s="275"/>
      <c r="M149" s="275"/>
      <c r="N149" s="275"/>
      <c r="O149" s="275"/>
      <c r="P149" s="275"/>
      <c r="Q149" s="275"/>
      <c r="R149" s="275"/>
      <c r="S149" s="275"/>
      <c r="T149" s="275"/>
      <c r="U149" s="275"/>
      <c r="V149" s="275"/>
      <c r="W149" s="275"/>
    </row>
    <row r="150" spans="1:23" x14ac:dyDescent="0.3">
      <c r="A150" s="172"/>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row>
    <row r="151" spans="1:23" x14ac:dyDescent="0.3">
      <c r="A151" s="172" t="s">
        <v>277</v>
      </c>
      <c r="B151" s="171" t="s">
        <v>278</v>
      </c>
      <c r="C151" s="171"/>
      <c r="D151" s="171"/>
      <c r="E151" s="171"/>
      <c r="F151" s="171"/>
      <c r="G151" s="171"/>
      <c r="H151" s="171"/>
      <c r="I151" s="171" t="s">
        <v>2</v>
      </c>
      <c r="J151" s="275" t="s">
        <v>279</v>
      </c>
      <c r="K151" s="275"/>
      <c r="L151" s="275"/>
      <c r="M151" s="275"/>
      <c r="N151" s="275"/>
      <c r="O151" s="275"/>
      <c r="P151" s="275"/>
      <c r="Q151" s="275"/>
      <c r="R151" s="275"/>
      <c r="S151" s="275"/>
      <c r="T151" s="275"/>
      <c r="U151" s="275"/>
      <c r="V151" s="275"/>
      <c r="W151" s="275"/>
    </row>
  </sheetData>
  <sheetProtection formatColumns="0" formatRows="0" insertHyperlinks="0" selectLockedCells="1" autoFilter="0" pivotTables="0" selectUnlockedCells="1"/>
  <mergeCells count="130">
    <mergeCell ref="C58:M58"/>
    <mergeCell ref="C59:M59"/>
    <mergeCell ref="C55:M55"/>
    <mergeCell ref="N55:W55"/>
    <mergeCell ref="N56:W56"/>
    <mergeCell ref="N57:W57"/>
    <mergeCell ref="N58:W58"/>
    <mergeCell ref="N59:W59"/>
    <mergeCell ref="I149:W149"/>
    <mergeCell ref="J151:W151"/>
    <mergeCell ref="I132:W132"/>
    <mergeCell ref="I133:W133"/>
    <mergeCell ref="I148:W148"/>
    <mergeCell ref="Q66:S66"/>
    <mergeCell ref="T66:W66"/>
    <mergeCell ref="Q68:S68"/>
    <mergeCell ref="T68:W68"/>
    <mergeCell ref="C66:P66"/>
    <mergeCell ref="Q67:S67"/>
    <mergeCell ref="T67:W67"/>
    <mergeCell ref="H129:W129"/>
    <mergeCell ref="H130:W130"/>
    <mergeCell ref="C112:K112"/>
    <mergeCell ref="L112:W112"/>
    <mergeCell ref="F126:W126"/>
    <mergeCell ref="I116:W116"/>
    <mergeCell ref="I117:W117"/>
    <mergeCell ref="I120:W120"/>
    <mergeCell ref="F125:W125"/>
    <mergeCell ref="C113:K113"/>
    <mergeCell ref="L113:W113"/>
    <mergeCell ref="I119:W119"/>
    <mergeCell ref="I122:W122"/>
    <mergeCell ref="I123:W123"/>
    <mergeCell ref="I121:W121"/>
    <mergeCell ref="H128:W128"/>
    <mergeCell ref="C110:K110"/>
    <mergeCell ref="L110:W110"/>
    <mergeCell ref="C111:K111"/>
    <mergeCell ref="L111:W111"/>
    <mergeCell ref="C104:K104"/>
    <mergeCell ref="L104:W104"/>
    <mergeCell ref="C105:K105"/>
    <mergeCell ref="L105:W105"/>
    <mergeCell ref="C106:K106"/>
    <mergeCell ref="L106:W106"/>
    <mergeCell ref="C99:K99"/>
    <mergeCell ref="L99:W99"/>
    <mergeCell ref="C100:K100"/>
    <mergeCell ref="L100:W100"/>
    <mergeCell ref="C101:K101"/>
    <mergeCell ref="L101:W101"/>
    <mergeCell ref="C102:K102"/>
    <mergeCell ref="L102:W102"/>
    <mergeCell ref="C103:K103"/>
    <mergeCell ref="L103:W103"/>
    <mergeCell ref="C97:K97"/>
    <mergeCell ref="L97:W97"/>
    <mergeCell ref="C92:I92"/>
    <mergeCell ref="J92:P92"/>
    <mergeCell ref="Q92:W92"/>
    <mergeCell ref="C93:I93"/>
    <mergeCell ref="J93:P93"/>
    <mergeCell ref="Q93:W93"/>
    <mergeCell ref="C98:K98"/>
    <mergeCell ref="L98:W98"/>
    <mergeCell ref="C75:W75"/>
    <mergeCell ref="C76:W76"/>
    <mergeCell ref="C77:W77"/>
    <mergeCell ref="C70:P70"/>
    <mergeCell ref="C67:P67"/>
    <mergeCell ref="C68:P68"/>
    <mergeCell ref="C69:P69"/>
    <mergeCell ref="C71:P71"/>
    <mergeCell ref="J91:P91"/>
    <mergeCell ref="Q91:W91"/>
    <mergeCell ref="C91:I91"/>
    <mergeCell ref="C78:W78"/>
    <mergeCell ref="C79:W79"/>
    <mergeCell ref="C80:W80"/>
    <mergeCell ref="C81:W81"/>
    <mergeCell ref="Q69:S69"/>
    <mergeCell ref="T69:W69"/>
    <mergeCell ref="Q70:S70"/>
    <mergeCell ref="T70:W70"/>
    <mergeCell ref="B63:B64"/>
    <mergeCell ref="C63:P64"/>
    <mergeCell ref="Q63:S64"/>
    <mergeCell ref="T63:W64"/>
    <mergeCell ref="Q71:S71"/>
    <mergeCell ref="T71:W71"/>
    <mergeCell ref="C65:P65"/>
    <mergeCell ref="Q65:S65"/>
    <mergeCell ref="T65:W65"/>
    <mergeCell ref="C39:W39"/>
    <mergeCell ref="C40:W40"/>
    <mergeCell ref="C41:W41"/>
    <mergeCell ref="C42:W42"/>
    <mergeCell ref="C56:M56"/>
    <mergeCell ref="C57:M57"/>
    <mergeCell ref="C45:M45"/>
    <mergeCell ref="N45:W45"/>
    <mergeCell ref="C47:M47"/>
    <mergeCell ref="N47:W47"/>
    <mergeCell ref="C48:M48"/>
    <mergeCell ref="N48:W48"/>
    <mergeCell ref="C46:M46"/>
    <mergeCell ref="N46:W46"/>
    <mergeCell ref="C49:M49"/>
    <mergeCell ref="N49:W49"/>
    <mergeCell ref="C50:M50"/>
    <mergeCell ref="N50:W50"/>
    <mergeCell ref="C51:M51"/>
    <mergeCell ref="N51:W51"/>
    <mergeCell ref="C35:W35"/>
    <mergeCell ref="C37:W37"/>
    <mergeCell ref="C38:W38"/>
    <mergeCell ref="A5:W5"/>
    <mergeCell ref="G22:N25"/>
    <mergeCell ref="G17:N20"/>
    <mergeCell ref="G27:N30"/>
    <mergeCell ref="B33:W33"/>
    <mergeCell ref="G9:W9"/>
    <mergeCell ref="G10:W10"/>
    <mergeCell ref="G12:W12"/>
    <mergeCell ref="G13:W13"/>
    <mergeCell ref="G14:W14"/>
    <mergeCell ref="A7:W7"/>
    <mergeCell ref="B12:E12"/>
    <mergeCell ref="C36:W36"/>
  </mergeCells>
  <pageMargins left="0.70866141732282995" right="0.70866141732282995" top="0.35433070866142002" bottom="0.35433070866142002" header="0.31496062992126" footer="0.31496062992126"/>
  <pageSetup paperSize="1000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R20"/>
  <sheetViews>
    <sheetView view="pageBreakPreview" zoomScale="80" zoomScaleNormal="80" workbookViewId="0">
      <selection activeCell="W12" sqref="W12"/>
    </sheetView>
  </sheetViews>
  <sheetFormatPr defaultRowHeight="14.4" x14ac:dyDescent="0.3"/>
  <cols>
    <col min="1" max="1" width="5.33203125" style="1" customWidth="1"/>
    <col min="2" max="3" width="13.44140625" style="2" customWidth="1"/>
    <col min="4" max="4" width="13.5546875" style="2" customWidth="1"/>
    <col min="5" max="5" width="3.44140625" style="3" customWidth="1"/>
    <col min="6" max="8" width="13.44140625" style="2" customWidth="1"/>
    <col min="9" max="9" width="10.88671875" style="2" customWidth="1"/>
    <col min="10" max="10" width="11.88671875" style="2" customWidth="1"/>
    <col min="11" max="11" width="11.44140625" style="2" customWidth="1"/>
    <col min="12" max="12" width="14.5546875" style="2" customWidth="1"/>
    <col min="13" max="13" width="10" style="4" customWidth="1"/>
    <col min="14" max="14" width="11.109375" style="2" customWidth="1"/>
    <col min="15" max="15" width="7.44140625" style="2" customWidth="1"/>
    <col min="16" max="17" width="3.88671875" style="86" hidden="1" customWidth="1"/>
    <col min="18" max="18" width="3.88671875" hidden="1" customWidth="1"/>
    <col min="19" max="19" width="0" hidden="1" customWidth="1"/>
  </cols>
  <sheetData>
    <row r="1" spans="1:17" ht="15.6" customHeight="1" x14ac:dyDescent="0.3">
      <c r="A1" s="286" t="s">
        <v>280</v>
      </c>
      <c r="B1" s="286"/>
      <c r="C1" s="286"/>
      <c r="D1" s="286"/>
      <c r="E1" s="286"/>
      <c r="F1" s="286"/>
      <c r="G1" s="286"/>
      <c r="H1" s="286"/>
      <c r="I1" s="286"/>
      <c r="J1" s="286"/>
      <c r="K1" s="286"/>
      <c r="L1" s="286"/>
      <c r="M1" s="286"/>
      <c r="N1" s="286"/>
      <c r="O1" s="286"/>
      <c r="P1" s="85">
        <f>DATA!D13</f>
        <v>1</v>
      </c>
    </row>
    <row r="2" spans="1:17" ht="10.5" customHeight="1" x14ac:dyDescent="0.3">
      <c r="A2" s="170"/>
      <c r="B2" s="171"/>
      <c r="C2" s="171"/>
      <c r="D2" s="171"/>
      <c r="E2" s="172"/>
      <c r="F2" s="171"/>
      <c r="G2" s="171"/>
      <c r="H2" s="171"/>
      <c r="I2" s="171"/>
      <c r="J2" s="171"/>
      <c r="K2" s="171"/>
      <c r="L2" s="171"/>
      <c r="M2" s="173"/>
      <c r="N2" s="171"/>
      <c r="O2" s="171"/>
    </row>
    <row r="3" spans="1:17" ht="18.600000000000001" customHeight="1" x14ac:dyDescent="0.3">
      <c r="A3" s="174" t="s">
        <v>118</v>
      </c>
      <c r="B3" s="287" t="s">
        <v>4</v>
      </c>
      <c r="C3" s="287"/>
      <c r="D3" s="287"/>
      <c r="E3" s="175" t="s">
        <v>2</v>
      </c>
      <c r="F3" s="288" t="str">
        <f>'URAIAN JABATAN'!G9</f>
        <v>Pengadministrasi Perkantoran</v>
      </c>
      <c r="G3" s="288"/>
      <c r="H3" s="288"/>
      <c r="I3" s="288"/>
      <c r="J3" s="288"/>
      <c r="K3" s="288"/>
      <c r="L3" s="288"/>
      <c r="M3" s="288"/>
      <c r="N3" s="288"/>
      <c r="O3" s="288"/>
    </row>
    <row r="4" spans="1:17" ht="18.600000000000001" customHeight="1" x14ac:dyDescent="0.3">
      <c r="A4" s="174" t="s">
        <v>120</v>
      </c>
      <c r="B4" s="287" t="s">
        <v>281</v>
      </c>
      <c r="C4" s="287"/>
      <c r="D4" s="287"/>
      <c r="E4" s="175" t="s">
        <v>2</v>
      </c>
      <c r="F4" s="289" t="str">
        <f>IF(P4="-",Q4,(P4&amp;", "&amp;Q4))</f>
        <v>Sekretariat Dinas Penanaman Modal dan Pelayanan Terpadu Satu Pintu</v>
      </c>
      <c r="G4" s="289"/>
      <c r="H4" s="289"/>
      <c r="I4" s="289"/>
      <c r="J4" s="289"/>
      <c r="K4" s="289"/>
      <c r="L4" s="289"/>
      <c r="M4" s="289"/>
      <c r="N4" s="289"/>
      <c r="O4" s="289"/>
      <c r="P4" s="87" t="str">
        <f>DATA!D4</f>
        <v>-</v>
      </c>
      <c r="Q4" s="87" t="str">
        <f>DATA!D5</f>
        <v>Sekretariat Dinas Penanaman Modal dan Pelayanan Terpadu Satu Pintu</v>
      </c>
    </row>
    <row r="5" spans="1:17" ht="18.600000000000001" customHeight="1" x14ac:dyDescent="0.3">
      <c r="A5" s="174" t="s">
        <v>122</v>
      </c>
      <c r="B5" s="287" t="s">
        <v>282</v>
      </c>
      <c r="C5" s="287"/>
      <c r="D5" s="287"/>
      <c r="E5" s="175" t="s">
        <v>2</v>
      </c>
      <c r="F5" s="289" t="str">
        <f>DATA!D6</f>
        <v>Dinas Penanaman Modal dan Pelayanan Terpadu Satu Pintu</v>
      </c>
      <c r="G5" s="289"/>
      <c r="H5" s="289"/>
      <c r="I5" s="289"/>
      <c r="J5" s="289"/>
      <c r="K5" s="289"/>
      <c r="L5" s="289"/>
      <c r="M5" s="289"/>
      <c r="N5" s="289"/>
      <c r="O5" s="289"/>
    </row>
    <row r="6" spans="1:17" ht="34.950000000000003" customHeight="1" x14ac:dyDescent="0.3">
      <c r="A6" s="174" t="s">
        <v>127</v>
      </c>
      <c r="B6" s="287" t="s">
        <v>283</v>
      </c>
      <c r="C6" s="287"/>
      <c r="D6" s="287"/>
      <c r="E6" s="175" t="s">
        <v>2</v>
      </c>
      <c r="F6" s="290" t="str">
        <f>'URAIAN JABATAN'!B33</f>
        <v>Melaksanakan kegiatan dukungan administrasi perkantoran, pemerintahan, dan pelayanan publik dalam lingkup tugas perencanaan, evaluasi, dan pelaporan.</v>
      </c>
      <c r="G6" s="290"/>
      <c r="H6" s="290"/>
      <c r="I6" s="290"/>
      <c r="J6" s="290"/>
      <c r="K6" s="290"/>
      <c r="L6" s="290"/>
      <c r="M6" s="290"/>
      <c r="N6" s="290"/>
      <c r="O6" s="290"/>
    </row>
    <row r="7" spans="1:17" ht="11.25" customHeight="1" x14ac:dyDescent="0.3">
      <c r="A7" s="170"/>
      <c r="B7" s="171"/>
      <c r="C7" s="171"/>
      <c r="D7" s="171"/>
      <c r="E7" s="172"/>
      <c r="F7" s="275"/>
      <c r="G7" s="275"/>
      <c r="H7" s="275"/>
      <c r="I7" s="275"/>
      <c r="J7" s="171"/>
      <c r="K7" s="171"/>
      <c r="L7" s="171"/>
      <c r="M7" s="173"/>
      <c r="N7" s="171"/>
      <c r="O7" s="171"/>
    </row>
    <row r="8" spans="1:17" ht="30.6" customHeight="1" x14ac:dyDescent="0.3">
      <c r="A8" s="176" t="s">
        <v>142</v>
      </c>
      <c r="B8" s="279" t="s">
        <v>284</v>
      </c>
      <c r="C8" s="279"/>
      <c r="D8" s="279"/>
      <c r="E8" s="279"/>
      <c r="F8" s="279"/>
      <c r="G8" s="279"/>
      <c r="H8" s="279"/>
      <c r="I8" s="279"/>
      <c r="J8" s="177" t="s">
        <v>285</v>
      </c>
      <c r="K8" s="177" t="s">
        <v>286</v>
      </c>
      <c r="L8" s="177" t="s">
        <v>287</v>
      </c>
      <c r="M8" s="178" t="s">
        <v>288</v>
      </c>
      <c r="N8" s="177" t="s">
        <v>289</v>
      </c>
      <c r="O8" s="179" t="s">
        <v>290</v>
      </c>
    </row>
    <row r="9" spans="1:17" ht="15" customHeight="1" x14ac:dyDescent="0.3">
      <c r="A9" s="180">
        <v>1</v>
      </c>
      <c r="B9" s="277">
        <v>2</v>
      </c>
      <c r="C9" s="277"/>
      <c r="D9" s="277"/>
      <c r="E9" s="277"/>
      <c r="F9" s="277"/>
      <c r="G9" s="277"/>
      <c r="H9" s="277"/>
      <c r="I9" s="277"/>
      <c r="J9" s="181">
        <v>3</v>
      </c>
      <c r="K9" s="181">
        <v>4</v>
      </c>
      <c r="L9" s="181">
        <v>5</v>
      </c>
      <c r="M9" s="182">
        <v>6</v>
      </c>
      <c r="N9" s="181">
        <v>7</v>
      </c>
      <c r="O9" s="183">
        <v>8</v>
      </c>
    </row>
    <row r="10" spans="1:17" ht="31.2" customHeight="1" x14ac:dyDescent="0.3">
      <c r="A10" s="184" t="s">
        <v>291</v>
      </c>
      <c r="B10" s="278" t="str">
        <f>DATA!D34</f>
        <v>Melakukan penatausahaan surat dan dokumen yang meliputi penerimaan, penelitian, verifikasi, pencatatan, dan distribusi surat dan dokumen dalam lingkup tugas perencanaan, evaluasi, dan pelaporan</v>
      </c>
      <c r="C10" s="278"/>
      <c r="D10" s="278"/>
      <c r="E10" s="278"/>
      <c r="F10" s="278"/>
      <c r="G10" s="278"/>
      <c r="H10" s="278"/>
      <c r="I10" s="278"/>
      <c r="J10" s="185" t="s">
        <v>292</v>
      </c>
      <c r="K10" s="221">
        <f>DATA!D48</f>
        <v>240</v>
      </c>
      <c r="L10" s="222" t="str">
        <f>DATA!D49</f>
        <v>1,5</v>
      </c>
      <c r="M10" s="221">
        <v>1250</v>
      </c>
      <c r="N10" s="223" t="e">
        <f t="shared" ref="N10:N16" si="0">K10*L10/M10</f>
        <v>#VALUE!</v>
      </c>
      <c r="O10" s="186"/>
      <c r="Q10" s="88" t="e">
        <f t="shared" ref="Q10:Q16" si="1">SUM(K10*L10)</f>
        <v>#VALUE!</v>
      </c>
    </row>
    <row r="11" spans="1:17" ht="31.2" customHeight="1" x14ac:dyDescent="0.3">
      <c r="A11" s="187" t="s">
        <v>293</v>
      </c>
      <c r="B11" s="283" t="str">
        <f>DATA!D35</f>
        <v>Menyusun dan menyediakan surat dan dokumen sesuai tata naskah dinas yang berlaku dalam lingkup tugas perencanaan, evaluasi, dan pelaporan</v>
      </c>
      <c r="C11" s="284"/>
      <c r="D11" s="284"/>
      <c r="E11" s="284"/>
      <c r="F11" s="284"/>
      <c r="G11" s="284"/>
      <c r="H11" s="284"/>
      <c r="I11" s="285"/>
      <c r="J11" s="188" t="s">
        <v>292</v>
      </c>
      <c r="K11" s="224">
        <f>DATA!D50</f>
        <v>48</v>
      </c>
      <c r="L11" s="225" t="str">
        <f>DATA!D51</f>
        <v>4,5</v>
      </c>
      <c r="M11" s="224">
        <v>1250</v>
      </c>
      <c r="N11" s="226" t="e">
        <f t="shared" si="0"/>
        <v>#VALUE!</v>
      </c>
      <c r="O11" s="189"/>
      <c r="Q11" s="88" t="e">
        <f t="shared" si="1"/>
        <v>#VALUE!</v>
      </c>
    </row>
    <row r="12" spans="1:17" ht="31.2" customHeight="1" x14ac:dyDescent="0.3">
      <c r="A12" s="187" t="s">
        <v>294</v>
      </c>
      <c r="B12" s="283" t="str">
        <f>DATA!D36</f>
        <v>Melakukan penyimpanan dan pengarsipan sesuai dengan tata kelola arsip terhadap surat dan dokumen dalam lingkup tugas perencanaan, evaluasi, dan pelaporan</v>
      </c>
      <c r="C12" s="284"/>
      <c r="D12" s="284"/>
      <c r="E12" s="284"/>
      <c r="F12" s="284"/>
      <c r="G12" s="284"/>
      <c r="H12" s="284"/>
      <c r="I12" s="285"/>
      <c r="J12" s="188" t="s">
        <v>292</v>
      </c>
      <c r="K12" s="224">
        <f>DATA!D52</f>
        <v>12</v>
      </c>
      <c r="L12" s="225">
        <f>DATA!D53</f>
        <v>3</v>
      </c>
      <c r="M12" s="224">
        <v>1250</v>
      </c>
      <c r="N12" s="226">
        <f t="shared" si="0"/>
        <v>2.8799999999999999E-2</v>
      </c>
      <c r="O12" s="189"/>
      <c r="Q12" s="88">
        <f t="shared" si="1"/>
        <v>36</v>
      </c>
    </row>
    <row r="13" spans="1:17" ht="31.2" customHeight="1" x14ac:dyDescent="0.3">
      <c r="A13" s="187" t="s">
        <v>295</v>
      </c>
      <c r="B13" s="283" t="str">
        <f>DATA!D37</f>
        <v>Melakukan kegiatan pelayanan publik dalam lingkup tugas perencanaan, evaluasi, dan pelaporan</v>
      </c>
      <c r="C13" s="284"/>
      <c r="D13" s="284"/>
      <c r="E13" s="284"/>
      <c r="F13" s="284"/>
      <c r="G13" s="284"/>
      <c r="H13" s="284"/>
      <c r="I13" s="285"/>
      <c r="J13" s="188" t="s">
        <v>292</v>
      </c>
      <c r="K13" s="224">
        <f>DATA!D54</f>
        <v>240</v>
      </c>
      <c r="L13" s="225" t="str">
        <f>DATA!D55</f>
        <v>1,5</v>
      </c>
      <c r="M13" s="224">
        <v>1250</v>
      </c>
      <c r="N13" s="226" t="e">
        <f t="shared" si="0"/>
        <v>#VALUE!</v>
      </c>
      <c r="O13" s="189"/>
      <c r="Q13" s="88" t="e">
        <f t="shared" si="1"/>
        <v>#VALUE!</v>
      </c>
    </row>
    <row r="14" spans="1:17" ht="31.2" customHeight="1" x14ac:dyDescent="0.3">
      <c r="A14" s="187" t="s">
        <v>296</v>
      </c>
      <c r="B14" s="283" t="str">
        <f>DATA!D38</f>
        <v>Melaksanakan pemberian dukungan teknis terhadap pelaksanaan tugas dan fungsi unit organisasi berupa penyiapan dan penyusunan dokumen, data, bahan, dan perlengkapan kegiatan dalam rangka pencapaian target kinerja organisasi.</v>
      </c>
      <c r="C14" s="284"/>
      <c r="D14" s="284"/>
      <c r="E14" s="284"/>
      <c r="F14" s="284"/>
      <c r="G14" s="284"/>
      <c r="H14" s="284"/>
      <c r="I14" s="285"/>
      <c r="J14" s="188" t="s">
        <v>292</v>
      </c>
      <c r="K14" s="224">
        <f>DATA!D56</f>
        <v>240</v>
      </c>
      <c r="L14" s="225">
        <f>DATA!D57</f>
        <v>1</v>
      </c>
      <c r="M14" s="224">
        <v>1250</v>
      </c>
      <c r="N14" s="226">
        <f t="shared" si="0"/>
        <v>0.192</v>
      </c>
      <c r="O14" s="189"/>
      <c r="Q14" s="88">
        <f t="shared" si="1"/>
        <v>240</v>
      </c>
    </row>
    <row r="15" spans="1:17" ht="31.2" customHeight="1" x14ac:dyDescent="0.3">
      <c r="A15" s="187" t="s">
        <v>297</v>
      </c>
      <c r="B15" s="283" t="str">
        <f>DATA!D39</f>
        <v>Menyusun laporan pelaksanaan tugas dan menyampaikan kepada pimpinan sebagai wujud akuntabilitas dan pertanggungjawaban pelaksanaan tugas.</v>
      </c>
      <c r="C15" s="284"/>
      <c r="D15" s="284"/>
      <c r="E15" s="284"/>
      <c r="F15" s="284"/>
      <c r="G15" s="284"/>
      <c r="H15" s="284"/>
      <c r="I15" s="285"/>
      <c r="J15" s="188" t="s">
        <v>292</v>
      </c>
      <c r="K15" s="224">
        <f>DATA!D58</f>
        <v>12</v>
      </c>
      <c r="L15" s="225">
        <f>DATA!D59</f>
        <v>3</v>
      </c>
      <c r="M15" s="224">
        <v>1250</v>
      </c>
      <c r="N15" s="226">
        <f t="shared" si="0"/>
        <v>2.8799999999999999E-2</v>
      </c>
      <c r="O15" s="189"/>
      <c r="Q15" s="88">
        <f t="shared" si="1"/>
        <v>36</v>
      </c>
    </row>
    <row r="16" spans="1:17" ht="31.2" customHeight="1" x14ac:dyDescent="0.3">
      <c r="A16" s="187" t="s">
        <v>298</v>
      </c>
      <c r="B16" s="283" t="str">
        <f>DATA!D40</f>
        <v>Melaksanakan tugas kedinasan lain yang diberikan oleh pimpinan, baik lisan maupun tertulis sebagai wujud loyalitas dan kerjasama yang baik.</v>
      </c>
      <c r="C16" s="284"/>
      <c r="D16" s="284"/>
      <c r="E16" s="284"/>
      <c r="F16" s="284"/>
      <c r="G16" s="284"/>
      <c r="H16" s="284"/>
      <c r="I16" s="285"/>
      <c r="J16" s="188" t="s">
        <v>292</v>
      </c>
      <c r="K16" s="224">
        <f>DATA!D60</f>
        <v>2</v>
      </c>
      <c r="L16" s="225" t="str">
        <f>DATA!D61</f>
        <v>1,5</v>
      </c>
      <c r="M16" s="224">
        <v>1250</v>
      </c>
      <c r="N16" s="226" t="e">
        <f t="shared" si="0"/>
        <v>#VALUE!</v>
      </c>
      <c r="O16" s="189"/>
      <c r="Q16" s="88" t="e">
        <f t="shared" si="1"/>
        <v>#VALUE!</v>
      </c>
    </row>
    <row r="17" spans="1:17" ht="13.95" customHeight="1" x14ac:dyDescent="0.3">
      <c r="A17" s="281" t="s">
        <v>299</v>
      </c>
      <c r="B17" s="282"/>
      <c r="C17" s="282"/>
      <c r="D17" s="282"/>
      <c r="E17" s="282"/>
      <c r="F17" s="282"/>
      <c r="G17" s="282"/>
      <c r="H17" s="282"/>
      <c r="I17" s="282"/>
      <c r="J17" s="282"/>
      <c r="K17" s="282"/>
      <c r="L17" s="190"/>
      <c r="M17" s="182"/>
      <c r="N17" s="227" t="e">
        <f>SUM(N10:N16)</f>
        <v>#VALUE!</v>
      </c>
      <c r="O17" s="191"/>
      <c r="Q17" s="89"/>
    </row>
    <row r="18" spans="1:17" ht="13.95" customHeight="1" x14ac:dyDescent="0.3">
      <c r="A18" s="281" t="s">
        <v>300</v>
      </c>
      <c r="B18" s="282"/>
      <c r="C18" s="282"/>
      <c r="D18" s="282"/>
      <c r="E18" s="282"/>
      <c r="F18" s="282"/>
      <c r="G18" s="282"/>
      <c r="H18" s="282"/>
      <c r="I18" s="282"/>
      <c r="J18" s="282"/>
      <c r="K18" s="282"/>
      <c r="L18" s="192"/>
      <c r="M18" s="193"/>
      <c r="N18" s="228">
        <f>DATA!D13</f>
        <v>1</v>
      </c>
      <c r="O18" s="191"/>
    </row>
    <row r="19" spans="1:17" ht="13.95" customHeight="1" x14ac:dyDescent="0.3">
      <c r="A19" s="170"/>
      <c r="B19" s="171"/>
      <c r="C19" s="171"/>
      <c r="D19" s="171"/>
      <c r="E19" s="172"/>
      <c r="F19" s="171"/>
      <c r="G19" s="171"/>
      <c r="H19" s="171"/>
      <c r="I19" s="280" t="s">
        <v>301</v>
      </c>
      <c r="J19" s="280"/>
      <c r="K19" s="280"/>
      <c r="L19" s="229" t="e">
        <f>SUM(Q10:Q16)</f>
        <v>#VALUE!</v>
      </c>
      <c r="M19" s="173"/>
      <c r="N19" s="194"/>
      <c r="O19" s="171"/>
    </row>
    <row r="20" spans="1:17" x14ac:dyDescent="0.3">
      <c r="A20" s="195"/>
      <c r="B20" s="196"/>
      <c r="C20" s="196"/>
      <c r="D20" s="196"/>
      <c r="E20" s="197"/>
      <c r="F20" s="196"/>
      <c r="G20" s="196"/>
      <c r="H20" s="196"/>
      <c r="I20" s="196"/>
      <c r="J20" s="196"/>
      <c r="K20" s="196"/>
      <c r="L20" s="196"/>
      <c r="M20" s="198"/>
      <c r="N20" s="196"/>
      <c r="O20" s="196"/>
    </row>
  </sheetData>
  <sheetProtection password="CC7A" sheet="1" formatColumns="0" formatRows="0" insertHyperlinks="0" selectLockedCells="1" autoFilter="0" pivotTables="0" selectUnlockedCells="1"/>
  <mergeCells count="22">
    <mergeCell ref="A1:O1"/>
    <mergeCell ref="B3:D3"/>
    <mergeCell ref="B4:D4"/>
    <mergeCell ref="B6:D6"/>
    <mergeCell ref="F3:O3"/>
    <mergeCell ref="F4:O4"/>
    <mergeCell ref="F6:O6"/>
    <mergeCell ref="B5:D5"/>
    <mergeCell ref="F5:O5"/>
    <mergeCell ref="B9:I9"/>
    <mergeCell ref="B10:I10"/>
    <mergeCell ref="F7:I7"/>
    <mergeCell ref="B8:I8"/>
    <mergeCell ref="I19:K19"/>
    <mergeCell ref="A17:K17"/>
    <mergeCell ref="A18:K18"/>
    <mergeCell ref="B15:I15"/>
    <mergeCell ref="B14:I14"/>
    <mergeCell ref="B13:I13"/>
    <mergeCell ref="B16:I16"/>
    <mergeCell ref="B12:I12"/>
    <mergeCell ref="B11:I11"/>
  </mergeCells>
  <pageMargins left="0.70866141732282995" right="0.70866141732282995" top="0.35433070866142002" bottom="0.35433070866142002" header="0.31496062992126" footer="0.31496062992126"/>
  <pageSetup paperSize="10000" scale="5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pageSetUpPr fitToPage="1"/>
  </sheetPr>
  <dimension ref="A1:AT360"/>
  <sheetViews>
    <sheetView view="pageBreakPreview" workbookViewId="0">
      <selection activeCell="AW106" sqref="AW106"/>
    </sheetView>
  </sheetViews>
  <sheetFormatPr defaultColWidth="3.33203125" defaultRowHeight="14.4" x14ac:dyDescent="0.3"/>
  <cols>
    <col min="1" max="1" width="3.33203125" style="99"/>
    <col min="2" max="3" width="3.44140625" style="99" customWidth="1"/>
    <col min="4" max="4" width="4.88671875" style="99" customWidth="1"/>
    <col min="5" max="5" width="1.88671875" style="99" customWidth="1"/>
    <col min="6" max="18" width="3.33203125" style="99"/>
    <col min="19" max="19" width="3.44140625" style="99" customWidth="1"/>
    <col min="20" max="20" width="3.6640625" style="99" customWidth="1"/>
    <col min="21" max="21" width="3.33203125" style="99"/>
    <col min="22" max="22" width="3.5546875" style="99" customWidth="1"/>
    <col min="23" max="23" width="2.6640625" style="99" customWidth="1"/>
    <col min="24" max="24" width="3.33203125" style="99"/>
    <col min="25" max="25" width="4.88671875" style="99" customWidth="1"/>
    <col min="26" max="26" width="2" style="99" customWidth="1"/>
    <col min="27" max="27" width="4.6640625" style="99" customWidth="1"/>
    <col min="28" max="28" width="4" style="99" customWidth="1"/>
    <col min="29" max="36" width="1.5546875" style="10" hidden="1" customWidth="1"/>
    <col min="37" max="37" width="1.5546875" style="103" hidden="1" customWidth="1"/>
    <col min="38" max="38" width="1.5546875" style="104" hidden="1" customWidth="1"/>
    <col min="39" max="41" width="1.109375" style="99" hidden="1" customWidth="1"/>
    <col min="42" max="45" width="0" style="99" hidden="1" customWidth="1"/>
    <col min="46" max="46" width="3.33203125" style="99"/>
  </cols>
  <sheetData>
    <row r="1" spans="1:27" x14ac:dyDescent="0.3">
      <c r="A1" s="98"/>
      <c r="B1" s="98"/>
      <c r="C1" s="98"/>
      <c r="D1" s="98"/>
      <c r="E1" s="98"/>
      <c r="F1" s="98"/>
      <c r="G1" s="98"/>
      <c r="H1" s="98"/>
      <c r="I1" s="98"/>
      <c r="J1" s="98"/>
      <c r="K1" s="98"/>
      <c r="L1" s="98"/>
      <c r="M1" s="98"/>
      <c r="N1" s="98"/>
      <c r="O1" s="98"/>
      <c r="P1" s="98"/>
      <c r="Q1" s="98"/>
      <c r="R1" s="98"/>
      <c r="S1" s="98"/>
      <c r="T1" s="98"/>
      <c r="U1" s="98"/>
      <c r="V1" s="98"/>
      <c r="W1" s="98"/>
      <c r="X1" s="98"/>
      <c r="Y1" s="98"/>
      <c r="Z1" s="98"/>
      <c r="AA1" s="98"/>
    </row>
    <row r="2" spans="1:27" x14ac:dyDescent="0.3">
      <c r="A2" s="98"/>
      <c r="B2" s="98"/>
      <c r="C2" s="98"/>
      <c r="D2" s="98"/>
      <c r="E2" s="98"/>
      <c r="F2" s="98"/>
      <c r="G2" s="98"/>
      <c r="H2" s="98"/>
      <c r="I2" s="98"/>
      <c r="J2" s="98"/>
      <c r="K2" s="98"/>
      <c r="L2" s="98"/>
      <c r="M2" s="98"/>
      <c r="N2" s="98"/>
      <c r="O2" s="98"/>
      <c r="P2" s="98"/>
      <c r="Q2" s="98"/>
      <c r="R2" s="98"/>
      <c r="S2" s="98"/>
      <c r="T2" s="98"/>
      <c r="U2" s="98"/>
      <c r="V2" s="98"/>
      <c r="W2" s="98"/>
      <c r="X2" s="98"/>
      <c r="Y2" s="98"/>
      <c r="Z2" s="98"/>
      <c r="AA2" s="98"/>
    </row>
    <row r="3" spans="1:27" x14ac:dyDescent="0.3">
      <c r="A3" s="98"/>
      <c r="B3" s="98"/>
      <c r="C3" s="98"/>
      <c r="D3" s="98"/>
      <c r="E3" s="98"/>
      <c r="F3" s="98"/>
      <c r="G3" s="98"/>
      <c r="H3" s="98"/>
      <c r="I3" s="98"/>
      <c r="J3" s="98"/>
      <c r="K3" s="98"/>
      <c r="L3" s="98"/>
      <c r="M3" s="98"/>
      <c r="N3" s="98"/>
      <c r="O3" s="98"/>
      <c r="P3" s="98"/>
      <c r="Q3" s="98"/>
      <c r="R3" s="98"/>
      <c r="S3" s="98"/>
      <c r="T3" s="98"/>
      <c r="U3" s="98"/>
      <c r="V3" s="98"/>
      <c r="W3" s="98"/>
      <c r="X3" s="98"/>
      <c r="Y3" s="98"/>
      <c r="Z3" s="98"/>
      <c r="AA3" s="98"/>
    </row>
    <row r="4" spans="1:27" x14ac:dyDescent="0.3">
      <c r="A4" s="98"/>
      <c r="B4" s="98"/>
      <c r="C4" s="98"/>
      <c r="D4" s="98"/>
      <c r="E4" s="98"/>
      <c r="F4" s="98"/>
      <c r="G4" s="98"/>
      <c r="H4" s="98"/>
      <c r="I4" s="98"/>
      <c r="J4" s="98"/>
      <c r="K4" s="98"/>
      <c r="L4" s="98"/>
      <c r="M4" s="98"/>
      <c r="N4" s="98"/>
      <c r="O4" s="98"/>
      <c r="P4" s="98"/>
      <c r="Q4" s="98"/>
      <c r="R4" s="98"/>
      <c r="S4" s="98"/>
      <c r="T4" s="98"/>
      <c r="U4" s="98"/>
      <c r="V4" s="98"/>
      <c r="W4" s="98"/>
      <c r="X4" s="98"/>
      <c r="Y4" s="98"/>
      <c r="Z4" s="98"/>
      <c r="AA4" s="98"/>
    </row>
    <row r="5" spans="1:27" ht="15.75" customHeight="1" x14ac:dyDescent="0.3">
      <c r="A5" s="315" t="s">
        <v>116</v>
      </c>
      <c r="B5" s="315"/>
      <c r="C5" s="315"/>
      <c r="D5" s="315"/>
      <c r="E5" s="315"/>
      <c r="F5" s="315"/>
      <c r="G5" s="315"/>
      <c r="H5" s="315"/>
      <c r="I5" s="315"/>
      <c r="J5" s="315"/>
      <c r="K5" s="315"/>
      <c r="L5" s="315"/>
      <c r="M5" s="315"/>
      <c r="N5" s="315"/>
      <c r="O5" s="315"/>
      <c r="P5" s="315"/>
      <c r="Q5" s="315"/>
      <c r="R5" s="315"/>
      <c r="S5" s="315"/>
      <c r="T5" s="315"/>
      <c r="U5" s="315"/>
      <c r="V5" s="315"/>
      <c r="W5" s="315"/>
      <c r="X5" s="315"/>
      <c r="Y5" s="315"/>
      <c r="Z5" s="315"/>
      <c r="AA5" s="315"/>
    </row>
    <row r="6" spans="1:27" ht="13.8" customHeight="1" x14ac:dyDescent="0.3">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row>
    <row r="7" spans="1:27" ht="13.8" customHeight="1" x14ac:dyDescent="0.3">
      <c r="A7" s="316" t="s">
        <v>302</v>
      </c>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row>
    <row r="8" spans="1:27" x14ac:dyDescent="0.3">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row>
    <row r="9" spans="1:27" ht="18.600000000000001" customHeight="1" x14ac:dyDescent="0.3">
      <c r="A9" s="307" t="s">
        <v>119</v>
      </c>
      <c r="B9" s="307"/>
      <c r="C9" s="307"/>
      <c r="D9" s="307"/>
      <c r="E9" s="307"/>
      <c r="F9" s="307"/>
      <c r="G9" s="139" t="s">
        <v>2</v>
      </c>
      <c r="H9" s="312" t="str">
        <f>'URAIAN JABATAN'!G9</f>
        <v>Pengadministrasi Perkantoran</v>
      </c>
      <c r="I9" s="312"/>
      <c r="J9" s="312"/>
      <c r="K9" s="312"/>
      <c r="L9" s="312"/>
      <c r="M9" s="312"/>
      <c r="N9" s="312"/>
      <c r="O9" s="312"/>
      <c r="P9" s="312"/>
      <c r="Q9" s="312"/>
      <c r="R9" s="312"/>
      <c r="S9" s="312"/>
      <c r="T9" s="312"/>
      <c r="U9" s="312"/>
      <c r="V9" s="312"/>
      <c r="W9" s="312"/>
      <c r="X9" s="312"/>
      <c r="Y9" s="312"/>
      <c r="Z9" s="312"/>
      <c r="AA9" s="312"/>
    </row>
    <row r="10" spans="1:27" ht="13.2" customHeight="1" x14ac:dyDescent="0.3">
      <c r="A10" s="307" t="s">
        <v>303</v>
      </c>
      <c r="B10" s="307"/>
      <c r="C10" s="307"/>
      <c r="D10" s="307"/>
      <c r="E10" s="307"/>
      <c r="F10" s="307"/>
      <c r="G10" s="139" t="s">
        <v>2</v>
      </c>
      <c r="H10" s="139"/>
      <c r="I10" s="139"/>
      <c r="J10" s="139"/>
      <c r="K10" s="139"/>
      <c r="L10" s="139"/>
      <c r="M10" s="139"/>
      <c r="N10" s="139"/>
      <c r="O10" s="139"/>
      <c r="P10" s="139"/>
      <c r="Q10" s="139"/>
      <c r="R10" s="139"/>
      <c r="S10" s="139"/>
      <c r="T10" s="139"/>
      <c r="U10" s="139"/>
      <c r="V10" s="139"/>
      <c r="W10" s="139"/>
      <c r="X10" s="139"/>
      <c r="Y10" s="139"/>
      <c r="Z10" s="139"/>
      <c r="AA10" s="139"/>
    </row>
    <row r="11" spans="1:27" ht="13.2" customHeight="1" x14ac:dyDescent="0.3">
      <c r="A11" s="307" t="s">
        <v>126</v>
      </c>
      <c r="B11" s="307"/>
      <c r="C11" s="307"/>
      <c r="D11" s="307"/>
      <c r="E11" s="307"/>
      <c r="F11" s="307"/>
      <c r="G11" s="139" t="s">
        <v>2</v>
      </c>
      <c r="H11" s="308" t="str">
        <f>DATA!D4</f>
        <v>-</v>
      </c>
      <c r="I11" s="308"/>
      <c r="J11" s="308"/>
      <c r="K11" s="308"/>
      <c r="L11" s="308"/>
      <c r="M11" s="308"/>
      <c r="N11" s="308"/>
      <c r="O11" s="308"/>
      <c r="P11" s="308"/>
      <c r="Q11" s="308"/>
      <c r="R11" s="308"/>
      <c r="S11" s="308"/>
      <c r="T11" s="308"/>
      <c r="U11" s="308"/>
      <c r="V11" s="308"/>
      <c r="W11" s="308"/>
      <c r="X11" s="308"/>
      <c r="Y11" s="308"/>
      <c r="Z11" s="308"/>
      <c r="AA11" s="308"/>
    </row>
    <row r="12" spans="1:27" ht="13.2" customHeight="1" x14ac:dyDescent="0.3">
      <c r="A12" s="307" t="s">
        <v>125</v>
      </c>
      <c r="B12" s="307"/>
      <c r="C12" s="307"/>
      <c r="D12" s="307"/>
      <c r="E12" s="307"/>
      <c r="F12" s="307"/>
      <c r="G12" s="139" t="s">
        <v>2</v>
      </c>
      <c r="H12" s="308" t="str">
        <f>DATA!D5</f>
        <v>Sekretariat Dinas Penanaman Modal dan Pelayanan Terpadu Satu Pintu</v>
      </c>
      <c r="I12" s="308"/>
      <c r="J12" s="308"/>
      <c r="K12" s="308"/>
      <c r="L12" s="308"/>
      <c r="M12" s="308"/>
      <c r="N12" s="308"/>
      <c r="O12" s="308"/>
      <c r="P12" s="308"/>
      <c r="Q12" s="308"/>
      <c r="R12" s="308"/>
      <c r="S12" s="308"/>
      <c r="T12" s="308"/>
      <c r="U12" s="308"/>
      <c r="V12" s="308"/>
      <c r="W12" s="308"/>
      <c r="X12" s="308"/>
      <c r="Y12" s="308"/>
      <c r="Z12" s="308"/>
      <c r="AA12" s="308"/>
    </row>
    <row r="13" spans="1:27" ht="13.2" customHeight="1" x14ac:dyDescent="0.3">
      <c r="A13" s="307" t="s">
        <v>304</v>
      </c>
      <c r="B13" s="307"/>
      <c r="C13" s="307"/>
      <c r="D13" s="307"/>
      <c r="E13" s="307"/>
      <c r="F13" s="307"/>
      <c r="G13" s="139" t="s">
        <v>2</v>
      </c>
      <c r="H13" s="308" t="str">
        <f>DATA!D6</f>
        <v>Dinas Penanaman Modal dan Pelayanan Terpadu Satu Pintu</v>
      </c>
      <c r="I13" s="308"/>
      <c r="J13" s="308"/>
      <c r="K13" s="308"/>
      <c r="L13" s="308"/>
      <c r="M13" s="308"/>
      <c r="N13" s="308"/>
      <c r="O13" s="308"/>
      <c r="P13" s="308"/>
      <c r="Q13" s="308"/>
      <c r="R13" s="308"/>
      <c r="S13" s="308"/>
      <c r="T13" s="308"/>
      <c r="U13" s="308"/>
      <c r="V13" s="308"/>
      <c r="W13" s="308"/>
      <c r="X13" s="308"/>
      <c r="Y13" s="308"/>
      <c r="Z13" s="308"/>
      <c r="AA13" s="308"/>
    </row>
    <row r="14" spans="1:27" x14ac:dyDescent="0.3">
      <c r="A14" s="140"/>
      <c r="B14" s="140"/>
      <c r="C14" s="140"/>
      <c r="D14" s="140"/>
      <c r="E14" s="140"/>
      <c r="F14" s="141"/>
      <c r="G14" s="141"/>
      <c r="H14" s="141"/>
      <c r="I14" s="141"/>
      <c r="J14" s="141"/>
      <c r="K14" s="141"/>
      <c r="L14" s="141"/>
      <c r="M14" s="141"/>
      <c r="N14" s="141"/>
      <c r="O14" s="141"/>
      <c r="P14" s="141"/>
      <c r="Q14" s="141"/>
      <c r="R14" s="141"/>
      <c r="S14" s="141"/>
      <c r="T14" s="141"/>
      <c r="U14" s="141"/>
      <c r="V14" s="141"/>
      <c r="W14" s="141"/>
      <c r="X14" s="141"/>
      <c r="Y14" s="141"/>
      <c r="Z14" s="141"/>
      <c r="AA14" s="141"/>
    </row>
    <row r="15" spans="1:27" x14ac:dyDescent="0.3">
      <c r="A15" s="142" t="s">
        <v>305</v>
      </c>
      <c r="B15" s="142" t="s">
        <v>306</v>
      </c>
      <c r="C15" s="142"/>
      <c r="D15" s="142"/>
      <c r="E15" s="142"/>
      <c r="F15" s="142"/>
      <c r="G15" s="140"/>
      <c r="H15" s="140"/>
      <c r="I15" s="140"/>
      <c r="J15" s="140"/>
      <c r="K15" s="140"/>
      <c r="L15" s="140"/>
      <c r="M15" s="140"/>
      <c r="N15" s="140"/>
      <c r="O15" s="140"/>
      <c r="P15" s="140"/>
      <c r="Q15" s="140"/>
      <c r="R15" s="140"/>
      <c r="S15" s="140"/>
      <c r="T15" s="140"/>
      <c r="U15" s="140"/>
      <c r="V15" s="140"/>
      <c r="W15" s="140"/>
      <c r="X15" s="140"/>
      <c r="Y15" s="140"/>
      <c r="Z15" s="140"/>
      <c r="AA15" s="140"/>
    </row>
    <row r="16" spans="1:27" ht="26.4" customHeight="1" x14ac:dyDescent="0.3">
      <c r="A16" s="140"/>
      <c r="B16" s="308" t="str">
        <f>"Jabatan ini "&amp;LOWER('URAIAN JABATAN'!B33)</f>
        <v>Jabatan ini melaksanakan kegiatan dukungan administrasi perkantoran, pemerintahan, dan pelayanan publik dalam lingkup tugas perencanaan, evaluasi, dan pelaporan.</v>
      </c>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row>
    <row r="17" spans="1:27" x14ac:dyDescent="0.3">
      <c r="A17" s="142" t="s">
        <v>307</v>
      </c>
      <c r="B17" s="142" t="s">
        <v>308</v>
      </c>
      <c r="C17" s="142"/>
      <c r="D17" s="142"/>
      <c r="E17" s="142"/>
      <c r="F17" s="142"/>
      <c r="G17" s="140"/>
      <c r="H17" s="140"/>
      <c r="I17" s="140"/>
      <c r="J17" s="140"/>
      <c r="K17" s="140"/>
      <c r="L17" s="140"/>
      <c r="M17" s="140"/>
      <c r="N17" s="140"/>
      <c r="O17" s="140"/>
      <c r="P17" s="140"/>
      <c r="Q17" s="140"/>
      <c r="R17" s="140"/>
      <c r="S17" s="140"/>
      <c r="T17" s="140"/>
      <c r="U17" s="140"/>
      <c r="V17" s="140"/>
      <c r="W17" s="140"/>
      <c r="X17" s="140"/>
      <c r="Y17" s="140"/>
      <c r="Z17" s="140"/>
      <c r="AA17" s="140"/>
    </row>
    <row r="18" spans="1:27" x14ac:dyDescent="0.3">
      <c r="A18" s="140"/>
      <c r="B18" s="142" t="s">
        <v>309</v>
      </c>
      <c r="C18" s="142" t="s">
        <v>310</v>
      </c>
      <c r="D18" s="142"/>
      <c r="E18" s="140"/>
      <c r="F18" s="140"/>
      <c r="G18" s="140"/>
      <c r="H18" s="140"/>
      <c r="I18" s="140"/>
      <c r="J18" s="140"/>
      <c r="K18" s="140"/>
      <c r="L18" s="140"/>
      <c r="M18" s="140"/>
      <c r="N18" s="140"/>
      <c r="O18" s="140"/>
      <c r="P18" s="140"/>
      <c r="Q18" s="140"/>
      <c r="R18" s="140"/>
      <c r="S18" s="140"/>
      <c r="T18" s="140"/>
      <c r="U18" s="140"/>
      <c r="V18" s="140"/>
      <c r="W18" s="140"/>
      <c r="X18" s="140"/>
      <c r="Y18" s="140"/>
      <c r="Z18" s="140"/>
      <c r="AA18" s="140"/>
    </row>
    <row r="19" spans="1:27" ht="27" customHeight="1" x14ac:dyDescent="0.3">
      <c r="A19" s="140"/>
      <c r="B19" s="140"/>
      <c r="C19" s="143">
        <v>1</v>
      </c>
      <c r="D19" s="308" t="str">
        <f>'URAIAN JABATAN'!C35</f>
        <v>Melakukan penatausahaan surat dan dokumen yang meliputi penerimaan, penelitian, verifikasi, pencatatan, dan distribusi surat dan dokumen dalam lingkup tugas perencanaan, evaluasi, dan pelaporan</v>
      </c>
      <c r="E19" s="308"/>
      <c r="F19" s="308"/>
      <c r="G19" s="308"/>
      <c r="H19" s="308"/>
      <c r="I19" s="308"/>
      <c r="J19" s="308"/>
      <c r="K19" s="308"/>
      <c r="L19" s="308"/>
      <c r="M19" s="308"/>
      <c r="N19" s="308"/>
      <c r="O19" s="308"/>
      <c r="P19" s="308"/>
      <c r="Q19" s="308"/>
      <c r="R19" s="308"/>
      <c r="S19" s="308"/>
      <c r="T19" s="308"/>
      <c r="U19" s="308"/>
      <c r="V19" s="308"/>
      <c r="W19" s="308"/>
      <c r="X19" s="308"/>
      <c r="Y19" s="308"/>
      <c r="Z19" s="308"/>
      <c r="AA19" s="308"/>
    </row>
    <row r="20" spans="1:27" ht="27" customHeight="1" x14ac:dyDescent="0.3">
      <c r="A20" s="140"/>
      <c r="B20" s="140"/>
      <c r="C20" s="143">
        <v>2</v>
      </c>
      <c r="D20" s="308" t="str">
        <f>'URAIAN JABATAN'!C36</f>
        <v>Menyusun dan menyediakan surat dan dokumen sesuai tata naskah dinas yang berlaku dalam lingkup tugas perencanaan, evaluasi, dan pelaporan</v>
      </c>
      <c r="E20" s="308"/>
      <c r="F20" s="308"/>
      <c r="G20" s="308"/>
      <c r="H20" s="308"/>
      <c r="I20" s="308"/>
      <c r="J20" s="308"/>
      <c r="K20" s="308"/>
      <c r="L20" s="308"/>
      <c r="M20" s="308"/>
      <c r="N20" s="308"/>
      <c r="O20" s="308"/>
      <c r="P20" s="308"/>
      <c r="Q20" s="308"/>
      <c r="R20" s="308"/>
      <c r="S20" s="308"/>
      <c r="T20" s="308"/>
      <c r="U20" s="308"/>
      <c r="V20" s="308"/>
      <c r="W20" s="308"/>
      <c r="X20" s="308"/>
      <c r="Y20" s="308"/>
      <c r="Z20" s="308"/>
      <c r="AA20" s="308"/>
    </row>
    <row r="21" spans="1:27" ht="27" customHeight="1" x14ac:dyDescent="0.3">
      <c r="A21" s="140"/>
      <c r="B21" s="140"/>
      <c r="C21" s="143">
        <v>3</v>
      </c>
      <c r="D21" s="308" t="str">
        <f>'URAIAN JABATAN'!C37</f>
        <v>Melakukan penyimpanan dan pengarsipan sesuai dengan tata kelola arsip terhadap surat dan dokumen dalam lingkup tugas perencanaan, evaluasi, dan pelaporan</v>
      </c>
      <c r="E21" s="308"/>
      <c r="F21" s="308"/>
      <c r="G21" s="308"/>
      <c r="H21" s="308"/>
      <c r="I21" s="308"/>
      <c r="J21" s="308"/>
      <c r="K21" s="308"/>
      <c r="L21" s="308"/>
      <c r="M21" s="308"/>
      <c r="N21" s="308"/>
      <c r="O21" s="308"/>
      <c r="P21" s="308"/>
      <c r="Q21" s="308"/>
      <c r="R21" s="308"/>
      <c r="S21" s="308"/>
      <c r="T21" s="308"/>
      <c r="U21" s="308"/>
      <c r="V21" s="308"/>
      <c r="W21" s="308"/>
      <c r="X21" s="308"/>
      <c r="Y21" s="308"/>
      <c r="Z21" s="308"/>
      <c r="AA21" s="308"/>
    </row>
    <row r="22" spans="1:27" ht="27" customHeight="1" x14ac:dyDescent="0.3">
      <c r="A22" s="140"/>
      <c r="B22" s="140"/>
      <c r="C22" s="143">
        <v>4</v>
      </c>
      <c r="D22" s="308" t="str">
        <f>'URAIAN JABATAN'!C38</f>
        <v>Melakukan kegiatan pelayanan publik dalam lingkup tugas perencanaan, evaluasi, dan pelaporan</v>
      </c>
      <c r="E22" s="308"/>
      <c r="F22" s="308"/>
      <c r="G22" s="308"/>
      <c r="H22" s="308"/>
      <c r="I22" s="308"/>
      <c r="J22" s="308"/>
      <c r="K22" s="308"/>
      <c r="L22" s="308"/>
      <c r="M22" s="308"/>
      <c r="N22" s="308"/>
      <c r="O22" s="308"/>
      <c r="P22" s="308"/>
      <c r="Q22" s="308"/>
      <c r="R22" s="308"/>
      <c r="S22" s="308"/>
      <c r="T22" s="308"/>
      <c r="U22" s="308"/>
      <c r="V22" s="308"/>
      <c r="W22" s="308"/>
      <c r="X22" s="308"/>
      <c r="Y22" s="308"/>
      <c r="Z22" s="308"/>
      <c r="AA22" s="308"/>
    </row>
    <row r="23" spans="1:27" ht="27" customHeight="1" x14ac:dyDescent="0.3">
      <c r="A23" s="140"/>
      <c r="B23" s="140"/>
      <c r="C23" s="143">
        <v>5</v>
      </c>
      <c r="D23" s="308" t="str">
        <f>'URAIAN JABATAN'!C39</f>
        <v>Melaksanakan pemberian dukungan teknis terhadap pelaksanaan tugas dan fungsi unit organisasi berupa penyiapan dan penyusunan dokumen, data, bahan, dan perlengkapan kegiatan dalam rangka pencapaian target kinerja organisasi.</v>
      </c>
      <c r="E23" s="308"/>
      <c r="F23" s="308"/>
      <c r="G23" s="308"/>
      <c r="H23" s="308"/>
      <c r="I23" s="308"/>
      <c r="J23" s="308"/>
      <c r="K23" s="308"/>
      <c r="L23" s="308"/>
      <c r="M23" s="308"/>
      <c r="N23" s="308"/>
      <c r="O23" s="308"/>
      <c r="P23" s="308"/>
      <c r="Q23" s="308"/>
      <c r="R23" s="308"/>
      <c r="S23" s="308"/>
      <c r="T23" s="308"/>
      <c r="U23" s="308"/>
      <c r="V23" s="308"/>
      <c r="W23" s="308"/>
      <c r="X23" s="308"/>
      <c r="Y23" s="308"/>
      <c r="Z23" s="308"/>
      <c r="AA23" s="308"/>
    </row>
    <row r="24" spans="1:27" ht="27" customHeight="1" x14ac:dyDescent="0.3">
      <c r="A24" s="140"/>
      <c r="B24" s="140"/>
      <c r="C24" s="143">
        <v>6</v>
      </c>
      <c r="D24" s="308" t="str">
        <f>'URAIAN JABATAN'!C40</f>
        <v>Menyusun laporan pelaksanaan tugas dan menyampaikan kepada pimpinan sebagai wujud akuntabilitas dan pertanggungjawaban pelaksanaan tugas.</v>
      </c>
      <c r="E24" s="308"/>
      <c r="F24" s="308"/>
      <c r="G24" s="308"/>
      <c r="H24" s="308"/>
      <c r="I24" s="308"/>
      <c r="J24" s="308"/>
      <c r="K24" s="308"/>
      <c r="L24" s="308"/>
      <c r="M24" s="308"/>
      <c r="N24" s="308"/>
      <c r="O24" s="308"/>
      <c r="P24" s="308"/>
      <c r="Q24" s="308"/>
      <c r="R24" s="308"/>
      <c r="S24" s="308"/>
      <c r="T24" s="308"/>
      <c r="U24" s="308"/>
      <c r="V24" s="308"/>
      <c r="W24" s="308"/>
      <c r="X24" s="308"/>
      <c r="Y24" s="308"/>
      <c r="Z24" s="308"/>
      <c r="AA24" s="308"/>
    </row>
    <row r="25" spans="1:27" ht="27" customHeight="1" x14ac:dyDescent="0.3">
      <c r="A25" s="140"/>
      <c r="B25" s="140"/>
      <c r="C25" s="143">
        <v>7</v>
      </c>
      <c r="D25" s="308" t="str">
        <f>'URAIAN JABATAN'!C41</f>
        <v>Melaksanakan tugas kedinasan lain yang diberikan oleh pimpinan, baik lisan maupun tertulis sebagai wujud loyalitas dan kerjasama yang baik.</v>
      </c>
      <c r="E25" s="308"/>
      <c r="F25" s="308"/>
      <c r="G25" s="308"/>
      <c r="H25" s="308"/>
      <c r="I25" s="308"/>
      <c r="J25" s="308"/>
      <c r="K25" s="308"/>
      <c r="L25" s="308"/>
      <c r="M25" s="308"/>
      <c r="N25" s="308"/>
      <c r="O25" s="308"/>
      <c r="P25" s="308"/>
      <c r="Q25" s="308"/>
      <c r="R25" s="308"/>
      <c r="S25" s="308"/>
      <c r="T25" s="308"/>
      <c r="U25" s="308"/>
      <c r="V25" s="308"/>
      <c r="W25" s="308"/>
      <c r="X25" s="308"/>
      <c r="Y25" s="308"/>
      <c r="Z25" s="308"/>
      <c r="AA25" s="308"/>
    </row>
    <row r="26" spans="1:27" x14ac:dyDescent="0.3">
      <c r="A26" s="140"/>
      <c r="B26" s="142" t="s">
        <v>311</v>
      </c>
      <c r="C26" s="142" t="s">
        <v>312</v>
      </c>
      <c r="D26" s="142"/>
      <c r="E26" s="140"/>
      <c r="F26" s="140"/>
      <c r="G26" s="140"/>
      <c r="H26" s="140"/>
      <c r="I26" s="140"/>
      <c r="J26" s="140"/>
      <c r="K26" s="140"/>
      <c r="L26" s="140"/>
      <c r="M26" s="140"/>
      <c r="N26" s="140"/>
      <c r="O26" s="140"/>
      <c r="P26" s="140"/>
      <c r="Q26" s="140"/>
      <c r="R26" s="140"/>
      <c r="S26" s="140"/>
      <c r="T26" s="140"/>
      <c r="U26" s="140"/>
      <c r="V26" s="140"/>
      <c r="W26" s="140"/>
      <c r="X26" s="140"/>
      <c r="Y26" s="140"/>
      <c r="Z26" s="140"/>
      <c r="AA26" s="140"/>
    </row>
    <row r="27" spans="1:27" ht="25.2" customHeight="1" x14ac:dyDescent="0.3">
      <c r="A27" s="140"/>
      <c r="B27" s="140"/>
      <c r="C27" s="143">
        <v>1</v>
      </c>
      <c r="D27" s="308" t="str">
        <f>'URAIAN JABATAN'!C75</f>
        <v>Keakuratan dan kelengkapan Laporan kegiatan penatausahaan surat dan dokumen dalam lingkup tugas perencanaan, evaluasi, dan pelaporan</v>
      </c>
      <c r="E27" s="308"/>
      <c r="F27" s="308"/>
      <c r="G27" s="308"/>
      <c r="H27" s="308"/>
      <c r="I27" s="308"/>
      <c r="J27" s="308"/>
      <c r="K27" s="308"/>
      <c r="L27" s="308"/>
      <c r="M27" s="308"/>
      <c r="N27" s="308"/>
      <c r="O27" s="308"/>
      <c r="P27" s="308"/>
      <c r="Q27" s="308"/>
      <c r="R27" s="308"/>
      <c r="S27" s="308"/>
      <c r="T27" s="308"/>
      <c r="U27" s="308"/>
      <c r="V27" s="308"/>
      <c r="W27" s="308"/>
      <c r="X27" s="308"/>
      <c r="Y27" s="308"/>
      <c r="Z27" s="308"/>
      <c r="AA27" s="308"/>
    </row>
    <row r="28" spans="1:27" ht="25.2" customHeight="1" x14ac:dyDescent="0.3">
      <c r="A28" s="140"/>
      <c r="B28" s="140"/>
      <c r="C28" s="143">
        <v>2</v>
      </c>
      <c r="D28" s="308" t="str">
        <f>'URAIAN JABATAN'!C76</f>
        <v>Keakuratan dan kelengkapan Dokumen dan surat dalam lingkup tugas perencanaan, evaluasi, dan pelaporan</v>
      </c>
      <c r="E28" s="308"/>
      <c r="F28" s="308"/>
      <c r="G28" s="308"/>
      <c r="H28" s="308"/>
      <c r="I28" s="308"/>
      <c r="J28" s="308"/>
      <c r="K28" s="308"/>
      <c r="L28" s="308"/>
      <c r="M28" s="308"/>
      <c r="N28" s="308"/>
      <c r="O28" s="308"/>
      <c r="P28" s="308"/>
      <c r="Q28" s="308"/>
      <c r="R28" s="308"/>
      <c r="S28" s="308"/>
      <c r="T28" s="308"/>
      <c r="U28" s="308"/>
      <c r="V28" s="308"/>
      <c r="W28" s="308"/>
      <c r="X28" s="308"/>
      <c r="Y28" s="308"/>
      <c r="Z28" s="308"/>
      <c r="AA28" s="308"/>
    </row>
    <row r="29" spans="1:27" ht="25.2" customHeight="1" x14ac:dyDescent="0.3">
      <c r="A29" s="140"/>
      <c r="B29" s="140"/>
      <c r="C29" s="143">
        <v>3</v>
      </c>
      <c r="D29" s="308" t="str">
        <f>'URAIAN JABATAN'!C77</f>
        <v>Keakuratan dan kelengkapan Arsip surat dan dokumen dalam lingkup tugas perencanaan, evaluasi, dan pelaporan</v>
      </c>
      <c r="E29" s="308"/>
      <c r="F29" s="308"/>
      <c r="G29" s="308"/>
      <c r="H29" s="308"/>
      <c r="I29" s="308"/>
      <c r="J29" s="308"/>
      <c r="K29" s="308"/>
      <c r="L29" s="308"/>
      <c r="M29" s="308"/>
      <c r="N29" s="308"/>
      <c r="O29" s="308"/>
      <c r="P29" s="308"/>
      <c r="Q29" s="308"/>
      <c r="R29" s="308"/>
      <c r="S29" s="308"/>
      <c r="T29" s="308"/>
      <c r="U29" s="308"/>
      <c r="V29" s="308"/>
      <c r="W29" s="308"/>
      <c r="X29" s="308"/>
      <c r="Y29" s="308"/>
      <c r="Z29" s="308"/>
      <c r="AA29" s="308"/>
    </row>
    <row r="30" spans="1:27" ht="25.2" customHeight="1" x14ac:dyDescent="0.3">
      <c r="A30" s="140"/>
      <c r="B30" s="140"/>
      <c r="C30" s="143">
        <v>4</v>
      </c>
      <c r="D30" s="308" t="str">
        <f>'URAIAN JABATAN'!C78</f>
        <v>Keakuratan dan kelengkapan Laporan kegiatan pelayanan publik dalam lingkup tugas perencanaan, evaluasi, dan pelaporan</v>
      </c>
      <c r="E30" s="308"/>
      <c r="F30" s="308"/>
      <c r="G30" s="308"/>
      <c r="H30" s="308"/>
      <c r="I30" s="308"/>
      <c r="J30" s="308"/>
      <c r="K30" s="308"/>
      <c r="L30" s="308"/>
      <c r="M30" s="308"/>
      <c r="N30" s="308"/>
      <c r="O30" s="308"/>
      <c r="P30" s="308"/>
      <c r="Q30" s="308"/>
      <c r="R30" s="308"/>
      <c r="S30" s="308"/>
      <c r="T30" s="308"/>
      <c r="U30" s="308"/>
      <c r="V30" s="308"/>
      <c r="W30" s="308"/>
      <c r="X30" s="308"/>
      <c r="Y30" s="308"/>
      <c r="Z30" s="308"/>
      <c r="AA30" s="308"/>
    </row>
    <row r="31" spans="1:27" ht="25.2" customHeight="1" x14ac:dyDescent="0.3">
      <c r="A31" s="140"/>
      <c r="B31" s="140"/>
      <c r="C31" s="143">
        <v>5</v>
      </c>
      <c r="D31" s="308" t="str">
        <f>'URAIAN JABATAN'!C79</f>
        <v>Kelancaran pelaksanaan kegiatan serta keakuratan dan kelengkapan dokumen, bahan, dan perlengkapan kegiatan tugas dan fungsi unit organisasi</v>
      </c>
      <c r="E31" s="308"/>
      <c r="F31" s="308"/>
      <c r="G31" s="308"/>
      <c r="H31" s="308"/>
      <c r="I31" s="308"/>
      <c r="J31" s="308"/>
      <c r="K31" s="308"/>
      <c r="L31" s="308"/>
      <c r="M31" s="308"/>
      <c r="N31" s="308"/>
      <c r="O31" s="308"/>
      <c r="P31" s="308"/>
      <c r="Q31" s="308"/>
      <c r="R31" s="308"/>
      <c r="S31" s="308"/>
      <c r="T31" s="308"/>
      <c r="U31" s="308"/>
      <c r="V31" s="308"/>
      <c r="W31" s="308"/>
      <c r="X31" s="308"/>
      <c r="Y31" s="308"/>
      <c r="Z31" s="308"/>
      <c r="AA31" s="308"/>
    </row>
    <row r="32" spans="1:27" ht="25.2" customHeight="1" x14ac:dyDescent="0.3">
      <c r="A32" s="140"/>
      <c r="B32" s="140"/>
      <c r="C32" s="143">
        <v>6</v>
      </c>
      <c r="D32" s="308" t="str">
        <f>'URAIAN JABATAN'!C80</f>
        <v>Keakuratan dan kelengkapan laporan bulanan pelaksanaan tugas dan kegiatan</v>
      </c>
      <c r="E32" s="308"/>
      <c r="F32" s="308"/>
      <c r="G32" s="308"/>
      <c r="H32" s="308"/>
      <c r="I32" s="308"/>
      <c r="J32" s="308"/>
      <c r="K32" s="308"/>
      <c r="L32" s="308"/>
      <c r="M32" s="308"/>
      <c r="N32" s="308"/>
      <c r="O32" s="308"/>
      <c r="P32" s="308"/>
      <c r="Q32" s="308"/>
      <c r="R32" s="308"/>
      <c r="S32" s="308"/>
      <c r="T32" s="308"/>
      <c r="U32" s="308"/>
      <c r="V32" s="308"/>
      <c r="W32" s="308"/>
      <c r="X32" s="308"/>
      <c r="Y32" s="308"/>
      <c r="Z32" s="308"/>
      <c r="AA32" s="308"/>
    </row>
    <row r="33" spans="1:44" ht="25.2" customHeight="1" x14ac:dyDescent="0.3">
      <c r="A33" s="140"/>
      <c r="B33" s="140"/>
      <c r="C33" s="143">
        <v>7</v>
      </c>
      <c r="D33" s="308" t="str">
        <f>'URAIAN JABATAN'!C81</f>
        <v>Keakuratan dan kelengkapan laporan tugas tambahan/kedinasan lainnya</v>
      </c>
      <c r="E33" s="308"/>
      <c r="F33" s="308"/>
      <c r="G33" s="308"/>
      <c r="H33" s="308"/>
      <c r="I33" s="308"/>
      <c r="J33" s="308"/>
      <c r="K33" s="308"/>
      <c r="L33" s="308"/>
      <c r="M33" s="308"/>
      <c r="N33" s="308"/>
      <c r="O33" s="308"/>
      <c r="P33" s="308"/>
      <c r="Q33" s="308"/>
      <c r="R33" s="308"/>
      <c r="S33" s="308"/>
      <c r="T33" s="308"/>
      <c r="U33" s="308"/>
      <c r="V33" s="308"/>
      <c r="W33" s="308"/>
      <c r="X33" s="308"/>
      <c r="Y33" s="308"/>
      <c r="Z33" s="308"/>
      <c r="AA33" s="308"/>
    </row>
    <row r="34" spans="1:44" x14ac:dyDescent="0.3">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row>
    <row r="35" spans="1:44" x14ac:dyDescent="0.3">
      <c r="A35" s="142" t="s">
        <v>313</v>
      </c>
      <c r="B35" s="142" t="s">
        <v>314</v>
      </c>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row>
    <row r="36" spans="1:44" ht="21.6" customHeight="1" x14ac:dyDescent="0.3">
      <c r="A36" s="140"/>
      <c r="B36" s="143">
        <v>1</v>
      </c>
      <c r="C36" s="308" t="str">
        <f>'URAIAN JABATAN'!C65</f>
        <v>Laporan kegiatan penatausahaan surat dan dokumen dalam lingkup tugas perencanaan, evaluasi, dan pelaporan</v>
      </c>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row>
    <row r="37" spans="1:44" ht="21.6" customHeight="1" x14ac:dyDescent="0.3">
      <c r="A37" s="140"/>
      <c r="B37" s="143">
        <v>2</v>
      </c>
      <c r="C37" s="308" t="str">
        <f>'URAIAN JABATAN'!C66</f>
        <v>Dokumen dan surat dalam lingkup tugas perencanaan, evaluasi, dan pelaporan</v>
      </c>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row>
    <row r="38" spans="1:44" ht="21.6" customHeight="1" x14ac:dyDescent="0.3">
      <c r="A38" s="140"/>
      <c r="B38" s="143">
        <v>3</v>
      </c>
      <c r="C38" s="308" t="str">
        <f>'URAIAN JABATAN'!C67</f>
        <v>Arsip surat dan dokumen dalam lingkup tugas perencanaan, evaluasi, dan pelaporan</v>
      </c>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row>
    <row r="39" spans="1:44" ht="21.6" customHeight="1" x14ac:dyDescent="0.3">
      <c r="A39" s="140"/>
      <c r="B39" s="143">
        <v>4</v>
      </c>
      <c r="C39" s="308" t="str">
        <f>'URAIAN JABATAN'!C68</f>
        <v>Laporan kegiatan pelayanan publik dalam lingkup tugas perencanaan, evaluasi, dan pelaporan</v>
      </c>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row>
    <row r="40" spans="1:44" ht="21.6" customHeight="1" x14ac:dyDescent="0.3">
      <c r="A40" s="140"/>
      <c r="B40" s="143">
        <v>5</v>
      </c>
      <c r="C40" s="308" t="str">
        <f>'URAIAN JABATAN'!C69</f>
        <v>Dokumen, bahan, dan perlengkapan kegiatan tugas dan fungsi unit organisasi</v>
      </c>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row>
    <row r="41" spans="1:44" ht="21.6" customHeight="1" x14ac:dyDescent="0.3">
      <c r="A41" s="140"/>
      <c r="B41" s="143">
        <v>6</v>
      </c>
      <c r="C41" s="308" t="str">
        <f>'URAIAN JABATAN'!C70</f>
        <v>Laporan bulanan pelaksanaan tugas dan kegiatan</v>
      </c>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row>
    <row r="42" spans="1:44" ht="21.6" customHeight="1" x14ac:dyDescent="0.3">
      <c r="A42" s="140"/>
      <c r="B42" s="143">
        <v>7</v>
      </c>
      <c r="C42" s="308" t="str">
        <f>'URAIAN JABATAN'!C71</f>
        <v>Laporan tugas tambahan/kedinasan lainnya</v>
      </c>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row>
    <row r="43" spans="1:44" x14ac:dyDescent="0.3">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row>
    <row r="44" spans="1:44" x14ac:dyDescent="0.3">
      <c r="A44" s="142" t="s">
        <v>315</v>
      </c>
      <c r="B44" s="142" t="s">
        <v>316</v>
      </c>
      <c r="C44" s="142"/>
      <c r="D44" s="142"/>
      <c r="E44" s="142"/>
      <c r="F44" s="142"/>
      <c r="G44" s="140"/>
      <c r="H44" s="140"/>
      <c r="I44" s="140"/>
      <c r="J44" s="140"/>
      <c r="K44" s="140"/>
      <c r="L44" s="140"/>
      <c r="M44" s="140"/>
      <c r="N44" s="140"/>
      <c r="O44" s="140"/>
      <c r="P44" s="140"/>
      <c r="Q44" s="140"/>
      <c r="R44" s="140"/>
      <c r="S44" s="140"/>
      <c r="T44" s="140"/>
      <c r="U44" s="140"/>
      <c r="V44" s="140"/>
      <c r="W44" s="140"/>
      <c r="X44" s="140"/>
      <c r="Y44" s="140"/>
      <c r="Z44" s="140"/>
      <c r="AA44" s="140"/>
    </row>
    <row r="45" spans="1:44" ht="15" customHeight="1" x14ac:dyDescent="0.3">
      <c r="A45" s="140"/>
      <c r="B45" s="142" t="s">
        <v>317</v>
      </c>
      <c r="C45" s="142"/>
      <c r="D45" s="142"/>
      <c r="E45" s="144" t="s">
        <v>2</v>
      </c>
      <c r="F45" s="142" t="s">
        <v>318</v>
      </c>
      <c r="G45" s="142"/>
      <c r="H45" s="142"/>
      <c r="I45" s="142"/>
      <c r="J45" s="142"/>
      <c r="K45" s="142"/>
      <c r="L45" s="142"/>
      <c r="M45" s="142"/>
      <c r="N45" s="142"/>
      <c r="O45" s="142"/>
      <c r="P45" s="142"/>
      <c r="Q45" s="142"/>
      <c r="R45" s="142"/>
      <c r="S45" s="142"/>
      <c r="T45" s="142"/>
      <c r="U45" s="145" t="s">
        <v>319</v>
      </c>
      <c r="V45" s="142" t="s">
        <v>320</v>
      </c>
      <c r="W45" s="142">
        <f>DATA!D21</f>
        <v>3</v>
      </c>
      <c r="X45" s="146" t="s">
        <v>227</v>
      </c>
      <c r="Y45" s="309">
        <f>IF(AND(W45=1),50,IF(AND(W45=2),200,IF(AND(W45=3),350,IF(AND(W45=4),550,IF(AND(W45=5),750,IF(AND(W45=6),950,IF(AND(W45=7),1250,0)))))))</f>
        <v>350</v>
      </c>
      <c r="Z45" s="309"/>
      <c r="AA45" s="142" t="s">
        <v>321</v>
      </c>
      <c r="AC45" s="10" t="s">
        <v>322</v>
      </c>
      <c r="AD45" s="105" t="s">
        <v>323</v>
      </c>
      <c r="AE45" s="105" t="s">
        <v>324</v>
      </c>
      <c r="AF45" s="105" t="s">
        <v>325</v>
      </c>
      <c r="AG45" s="105" t="s">
        <v>326</v>
      </c>
      <c r="AH45" s="105" t="s">
        <v>327</v>
      </c>
      <c r="AI45" s="105" t="s">
        <v>328</v>
      </c>
      <c r="AJ45" s="105" t="s">
        <v>329</v>
      </c>
      <c r="AR45" s="135" t="s">
        <v>330</v>
      </c>
    </row>
    <row r="46" spans="1:44" ht="50.4" customHeight="1" x14ac:dyDescent="0.3">
      <c r="A46" s="140"/>
      <c r="B46" s="140"/>
      <c r="C46" s="140"/>
      <c r="D46" s="140"/>
      <c r="E46" s="147"/>
      <c r="F46" s="308" t="str">
        <f>"Jabatan "&amp;$H$9&amp;" "&amp;AR46&amp;" "&amp;AC46</f>
        <v>Jabatan Pengadministrasi Perkantoran Sekretariat Dinas Penanaman Modal dan Pelayanan Terpadu Satu Pintu memerlukan pengetahuan tentang sejumlah peraturan, prosedur, dan operasi, yang membutuhkan pelatihan dan pengalaman yang cukup untuk melaksanakan pekerjaan klerek dan menyelesaikan masalah yang muncul serta memerlukan memerlukan keterampilan, yang membutuhkan pelatihan dan pengalaman yang cukup, untuk mengoperasikan dan menyesuaikan peralatan dalam berbagai tujuan terkait yang  bidang tugas.</v>
      </c>
      <c r="G46" s="308"/>
      <c r="H46" s="308"/>
      <c r="I46" s="308"/>
      <c r="J46" s="308"/>
      <c r="K46" s="308"/>
      <c r="L46" s="308"/>
      <c r="M46" s="308"/>
      <c r="N46" s="308"/>
      <c r="O46" s="308"/>
      <c r="P46" s="308"/>
      <c r="Q46" s="308"/>
      <c r="R46" s="308"/>
      <c r="S46" s="308"/>
      <c r="T46" s="308"/>
      <c r="U46" s="308"/>
      <c r="V46" s="308"/>
      <c r="W46" s="308"/>
      <c r="X46" s="308"/>
      <c r="Y46" s="308"/>
      <c r="Z46" s="308"/>
      <c r="AA46" s="308"/>
      <c r="AC46" s="106" t="str">
        <f>IF(W45=1,AD46,IF(W45=2,AE46,IF(W45=3,AF46,IF(W45=4,AG46,IF(W45=5,AH46,IF(W45=6,AI46,IF(W45=7,AJ46,"0")))))))</f>
        <v>memerlukan pengetahuan tentang sejumlah peraturan, prosedur, dan operasi, yang membutuhkan pelatihan dan pengalaman yang cukup untuk melaksanakan pekerjaan klerek dan menyelesaikan masalah yang muncul serta memerlukan memerlukan keterampilan, yang membutuhkan pelatihan dan pengalaman yang cukup, untuk mengoperasikan dan menyesuaikan peralatan dalam berbagai tujuan terkait yang  bidang tugas.</v>
      </c>
      <c r="AD46" s="107" t="s">
        <v>331</v>
      </c>
      <c r="AE46" s="107" t="s">
        <v>332</v>
      </c>
      <c r="AF46" s="107" t="s">
        <v>333</v>
      </c>
      <c r="AG46" s="107" t="s">
        <v>334</v>
      </c>
      <c r="AH46" s="107" t="s">
        <v>335</v>
      </c>
      <c r="AI46" s="107" t="s">
        <v>336</v>
      </c>
      <c r="AJ46" s="107" t="s">
        <v>337</v>
      </c>
      <c r="AR46" s="136" t="str">
        <f>IF($H$11="-",$H$12,$H$11)</f>
        <v>Sekretariat Dinas Penanaman Modal dan Pelayanan Terpadu Satu Pintu</v>
      </c>
    </row>
    <row r="47" spans="1:44" x14ac:dyDescent="0.3">
      <c r="A47" s="140"/>
      <c r="B47" s="142" t="s">
        <v>338</v>
      </c>
      <c r="C47" s="142"/>
      <c r="D47" s="142"/>
      <c r="E47" s="144" t="s">
        <v>2</v>
      </c>
      <c r="F47" s="142" t="s">
        <v>339</v>
      </c>
      <c r="G47" s="142"/>
      <c r="H47" s="142"/>
      <c r="I47" s="142"/>
      <c r="J47" s="142"/>
      <c r="K47" s="142"/>
      <c r="L47" s="142"/>
      <c r="M47" s="142"/>
      <c r="N47" s="142"/>
      <c r="O47" s="142"/>
      <c r="P47" s="142"/>
      <c r="Q47" s="142"/>
      <c r="R47" s="142"/>
      <c r="S47" s="142"/>
      <c r="T47" s="142"/>
      <c r="U47" s="148" t="s">
        <v>319</v>
      </c>
      <c r="V47" s="142" t="s">
        <v>340</v>
      </c>
      <c r="W47" s="142">
        <f>DATA!D22</f>
        <v>1</v>
      </c>
      <c r="X47" s="144" t="s">
        <v>227</v>
      </c>
      <c r="Y47" s="309">
        <f>IF(AND(W47=1),25,IF(AND(W47=2),125,IF(AND(W47=3),275,IF(AND(W47=4),450,IF(AND(W47=5),650,0)))))</f>
        <v>25</v>
      </c>
      <c r="Z47" s="309"/>
      <c r="AA47" s="142" t="s">
        <v>321</v>
      </c>
      <c r="AC47" s="10" t="s">
        <v>341</v>
      </c>
      <c r="AD47" s="10" t="s">
        <v>342</v>
      </c>
      <c r="AE47" s="10" t="s">
        <v>343</v>
      </c>
      <c r="AF47" s="10" t="s">
        <v>344</v>
      </c>
      <c r="AG47" s="10" t="s">
        <v>345</v>
      </c>
      <c r="AH47" s="10" t="s">
        <v>346</v>
      </c>
      <c r="AI47" s="10" t="s">
        <v>347</v>
      </c>
      <c r="AJ47" s="10" t="s">
        <v>348</v>
      </c>
      <c r="AK47" s="10" t="s">
        <v>349</v>
      </c>
      <c r="AL47" s="10" t="s">
        <v>350</v>
      </c>
      <c r="AM47" s="100" t="s">
        <v>351</v>
      </c>
      <c r="AN47" s="100" t="s">
        <v>352</v>
      </c>
      <c r="AR47" s="102"/>
    </row>
    <row r="48" spans="1:44" ht="15" customHeight="1" x14ac:dyDescent="0.3">
      <c r="A48" s="140"/>
      <c r="B48" s="142"/>
      <c r="C48" s="142"/>
      <c r="D48" s="142"/>
      <c r="E48" s="144"/>
      <c r="F48" s="308" t="str">
        <f>AC48</f>
        <v>Penyelia membuat tugas tertentu disertai dengan instruksi yang jelas, terperinci, dan spesifik Untuk tugas sejenis dan berulang.</v>
      </c>
      <c r="G48" s="308"/>
      <c r="H48" s="308"/>
      <c r="I48" s="308"/>
      <c r="J48" s="308"/>
      <c r="K48" s="308"/>
      <c r="L48" s="308"/>
      <c r="M48" s="308"/>
      <c r="N48" s="308"/>
      <c r="O48" s="308"/>
      <c r="P48" s="308"/>
      <c r="Q48" s="308"/>
      <c r="R48" s="308"/>
      <c r="S48" s="308"/>
      <c r="T48" s="308"/>
      <c r="U48" s="308"/>
      <c r="V48" s="308"/>
      <c r="W48" s="308"/>
      <c r="X48" s="308"/>
      <c r="Y48" s="308"/>
      <c r="Z48" s="308"/>
      <c r="AA48" s="308"/>
      <c r="AC48" s="10" t="str">
        <f>IF(W47=1,AE48,IF(W47=2,AG48,IF(W47=3,AI48,IF(W47=4,AK48,IF(W47=5,AM48,0)))))</f>
        <v>Penyelia membuat tugas tertentu disertai dengan instruksi yang jelas, terperinci, dan spesifik Untuk tugas sejenis dan berulang.</v>
      </c>
      <c r="AD48" s="10" t="str">
        <f>IF(W47=1,AF48,IF(W47=2,AH48,IF(W47=3,AJ48,IF(W47=4,AL48,IF(W47=5,AN48,0)))))</f>
        <v>bekerja sesuai instruksi dan berkonsultasi dengan penyelia sebagaimana dibutuhkan untuk semua persoalan yang tidak spesifik dicakup di dalam instruksi atau pedoman, pekerjaan diawasi dengan teliti dan dalam situasi tertentu, penyelia melakukan peninjauan pekerjaan, termasuk pengecekan kemajuan pekerjaan atau peninjauan pekerjaan yang telah selesai untuk tujuan keakuratan, kecukupan, dan ketaatan pada instruksi dan prosedur yang ditetapkan.</v>
      </c>
      <c r="AE48" s="107" t="s">
        <v>353</v>
      </c>
      <c r="AF48" s="107" t="s">
        <v>354</v>
      </c>
      <c r="AG48" s="107" t="s">
        <v>355</v>
      </c>
      <c r="AH48" s="107" t="s">
        <v>356</v>
      </c>
      <c r="AI48" s="107" t="s">
        <v>357</v>
      </c>
      <c r="AJ48" s="107" t="s">
        <v>358</v>
      </c>
      <c r="AK48" s="108" t="s">
        <v>359</v>
      </c>
      <c r="AL48" s="108" t="s">
        <v>360</v>
      </c>
      <c r="AM48" s="102" t="s">
        <v>361</v>
      </c>
      <c r="AN48" s="102" t="s">
        <v>362</v>
      </c>
      <c r="AR48" s="102"/>
    </row>
    <row r="49" spans="1:44" ht="55.2" customHeight="1" x14ac:dyDescent="0.3">
      <c r="A49" s="140"/>
      <c r="B49" s="142"/>
      <c r="C49" s="142"/>
      <c r="D49" s="142"/>
      <c r="E49" s="144"/>
      <c r="F49" s="314" t="str">
        <f>"Jabatan "&amp;H9&amp;" "&amp;AD48</f>
        <v>Jabatan Pengadministrasi Perkantoran bekerja sesuai instruksi dan berkonsultasi dengan penyelia sebagaimana dibutuhkan untuk semua persoalan yang tidak spesifik dicakup di dalam instruksi atau pedoman, pekerjaan diawasi dengan teliti dan dalam situasi tertentu, penyelia melakukan peninjauan pekerjaan, termasuk pengecekan kemajuan pekerjaan atau peninjauan pekerjaan yang telah selesai untuk tujuan keakuratan, kecukupan, dan ketaatan pada instruksi dan prosedur yang ditetapkan.</v>
      </c>
      <c r="G49" s="308"/>
      <c r="H49" s="308"/>
      <c r="I49" s="308"/>
      <c r="J49" s="308"/>
      <c r="K49" s="308"/>
      <c r="L49" s="308"/>
      <c r="M49" s="308"/>
      <c r="N49" s="308"/>
      <c r="O49" s="308"/>
      <c r="P49" s="308"/>
      <c r="Q49" s="308"/>
      <c r="R49" s="308"/>
      <c r="S49" s="308"/>
      <c r="T49" s="308"/>
      <c r="U49" s="308"/>
      <c r="V49" s="308"/>
      <c r="W49" s="308"/>
      <c r="X49" s="308"/>
      <c r="Y49" s="308"/>
      <c r="Z49" s="308"/>
      <c r="AA49" s="308"/>
      <c r="AR49" s="102"/>
    </row>
    <row r="50" spans="1:44" x14ac:dyDescent="0.3">
      <c r="A50" s="140"/>
      <c r="B50" s="142" t="s">
        <v>363</v>
      </c>
      <c r="C50" s="142"/>
      <c r="D50" s="142"/>
      <c r="E50" s="144" t="s">
        <v>2</v>
      </c>
      <c r="F50" s="142" t="s">
        <v>364</v>
      </c>
      <c r="G50" s="142"/>
      <c r="H50" s="142"/>
      <c r="I50" s="142"/>
      <c r="J50" s="140"/>
      <c r="K50" s="140"/>
      <c r="L50" s="140"/>
      <c r="M50" s="140"/>
      <c r="N50" s="140"/>
      <c r="O50" s="140"/>
      <c r="P50" s="140"/>
      <c r="Q50" s="140"/>
      <c r="R50" s="140"/>
      <c r="S50" s="140"/>
      <c r="T50" s="140"/>
      <c r="U50" s="148" t="s">
        <v>319</v>
      </c>
      <c r="V50" s="142" t="s">
        <v>365</v>
      </c>
      <c r="W50" s="142">
        <f>DATA!D23</f>
        <v>1</v>
      </c>
      <c r="X50" s="144" t="s">
        <v>227</v>
      </c>
      <c r="Y50" s="309">
        <f>IF(AND(W50=1),25,IF(AND(W50=2),125,IF(AND(W50=3),275,IF(AND(W50=4),450,IF(AND(W50=5),650,0)))))</f>
        <v>25</v>
      </c>
      <c r="Z50" s="309"/>
      <c r="AA50" s="142" t="s">
        <v>321</v>
      </c>
      <c r="AC50" s="10" t="s">
        <v>366</v>
      </c>
      <c r="AD50" s="10" t="s">
        <v>367</v>
      </c>
      <c r="AE50" s="10" t="s">
        <v>368</v>
      </c>
      <c r="AF50" s="10" t="s">
        <v>369</v>
      </c>
      <c r="AG50" s="10" t="s">
        <v>370</v>
      </c>
      <c r="AR50" s="102"/>
    </row>
    <row r="51" spans="1:44" ht="46.2" customHeight="1" x14ac:dyDescent="0.3">
      <c r="A51" s="140"/>
      <c r="B51" s="140"/>
      <c r="C51" s="140"/>
      <c r="D51" s="140"/>
      <c r="E51" s="140"/>
      <c r="F51" s="308" t="str">
        <f>"Jabatan "&amp;$H$9&amp;" "&amp;AC51</f>
        <v>Jabatan Pengadministrasi Perkantoran menggunakan pedoman yang terperinci dan khusus, meliputi semua aspek penting tugas yang diberikan. Pegawai pada jabatan ini harus patuh dan taat pada pedoman, perubahan maupun penyimpangan dari pedoman harus diketahui dan disetujui oleh penyelia.</v>
      </c>
      <c r="G51" s="308"/>
      <c r="H51" s="308"/>
      <c r="I51" s="308"/>
      <c r="J51" s="308"/>
      <c r="K51" s="308"/>
      <c r="L51" s="308"/>
      <c r="M51" s="308"/>
      <c r="N51" s="308"/>
      <c r="O51" s="308"/>
      <c r="P51" s="308"/>
      <c r="Q51" s="308"/>
      <c r="R51" s="308"/>
      <c r="S51" s="308"/>
      <c r="T51" s="308"/>
      <c r="U51" s="308"/>
      <c r="V51" s="308"/>
      <c r="W51" s="308"/>
      <c r="X51" s="308"/>
      <c r="Y51" s="308"/>
      <c r="Z51" s="308"/>
      <c r="AA51" s="308"/>
      <c r="AC51" s="107" t="str">
        <f>IF(W50=1,AD51,IF(W50=2,AE51,IF(W50=3,AF51,IF(W50=4,AG51,0))))</f>
        <v>menggunakan pedoman yang terperinci dan khusus, meliputi semua aspek penting tugas yang diberikan. Pegawai pada jabatan ini harus patuh dan taat pada pedoman, perubahan maupun penyimpangan dari pedoman harus diketahui dan disetujui oleh penyelia.</v>
      </c>
      <c r="AD51" s="109" t="s">
        <v>371</v>
      </c>
      <c r="AE51" s="109" t="s">
        <v>372</v>
      </c>
      <c r="AF51" s="109" t="s">
        <v>373</v>
      </c>
      <c r="AG51" s="109" t="s">
        <v>374</v>
      </c>
      <c r="AR51" s="102"/>
    </row>
    <row r="52" spans="1:44" x14ac:dyDescent="0.3">
      <c r="A52" s="138"/>
      <c r="B52" s="142" t="s">
        <v>375</v>
      </c>
      <c r="C52" s="142"/>
      <c r="D52" s="142"/>
      <c r="E52" s="144" t="s">
        <v>2</v>
      </c>
      <c r="F52" s="142" t="s">
        <v>376</v>
      </c>
      <c r="G52" s="149"/>
      <c r="H52" s="149"/>
      <c r="I52" s="149"/>
      <c r="J52" s="149"/>
      <c r="K52" s="149"/>
      <c r="L52" s="141"/>
      <c r="M52" s="141"/>
      <c r="N52" s="141"/>
      <c r="O52" s="141"/>
      <c r="P52" s="141"/>
      <c r="Q52" s="141"/>
      <c r="R52" s="141"/>
      <c r="S52" s="141"/>
      <c r="T52" s="141"/>
      <c r="U52" s="148" t="s">
        <v>319</v>
      </c>
      <c r="V52" s="142" t="s">
        <v>377</v>
      </c>
      <c r="W52" s="142">
        <f>DATA!D24</f>
        <v>1</v>
      </c>
      <c r="X52" s="144" t="s">
        <v>227</v>
      </c>
      <c r="Y52" s="309">
        <f>IF(AND(W52=1),25,IF(AND(W52=2),75,IF(AND(W52=3),150,IF(AND(W52=4),225,IF(AND(W52=5),325,IF(AND(W52=6),450,0))))))</f>
        <v>25</v>
      </c>
      <c r="Z52" s="309"/>
      <c r="AA52" s="142" t="s">
        <v>321</v>
      </c>
      <c r="AC52" s="10" t="s">
        <v>378</v>
      </c>
      <c r="AD52" s="10" t="s">
        <v>379</v>
      </c>
      <c r="AE52" s="10" t="s">
        <v>380</v>
      </c>
      <c r="AF52" s="10" t="s">
        <v>381</v>
      </c>
      <c r="AG52" s="10" t="s">
        <v>382</v>
      </c>
      <c r="AH52" s="10" t="s">
        <v>383</v>
      </c>
      <c r="AR52" s="102"/>
    </row>
    <row r="53" spans="1:44" ht="46.2" customHeight="1" x14ac:dyDescent="0.3">
      <c r="A53" s="140"/>
      <c r="B53" s="140"/>
      <c r="C53" s="140"/>
      <c r="D53" s="140"/>
      <c r="E53" s="140"/>
      <c r="F53" s="308" t="str">
        <f>"Jabatan "&amp;$H$9&amp;" "&amp;AC53</f>
        <v>Jabatan Pengadministrasi Perkantoran melaksanakan pekerjaan terdiri dari tugas-tugas yang jelas dan berhubungan secara langsung, dengan sedikit atau sama sekali tidak ada pilihan yang harus dibuat di dalam memutuskan apa yang harus dilakukan.Tindakan yang akan diambil atau respons yang harus dibuat sudah dapat dilihat. Pekerjaan secara cepat dapat dikuasai.</v>
      </c>
      <c r="G53" s="308"/>
      <c r="H53" s="308"/>
      <c r="I53" s="308"/>
      <c r="J53" s="308"/>
      <c r="K53" s="308"/>
      <c r="L53" s="308"/>
      <c r="M53" s="308"/>
      <c r="N53" s="308"/>
      <c r="O53" s="308"/>
      <c r="P53" s="308"/>
      <c r="Q53" s="308"/>
      <c r="R53" s="308"/>
      <c r="S53" s="308"/>
      <c r="T53" s="308"/>
      <c r="U53" s="308"/>
      <c r="V53" s="308"/>
      <c r="W53" s="308"/>
      <c r="X53" s="308"/>
      <c r="Y53" s="308"/>
      <c r="Z53" s="308"/>
      <c r="AA53" s="308"/>
      <c r="AC53" s="109" t="str">
        <f>IF(W52=1,AD53,IF(W52=2,AE53,IF(W52=3,AF53,IF(W52=4,AG53,IF(W52=5,AH53,0)))))</f>
        <v>melaksanakan pekerjaan terdiri dari tugas-tugas yang jelas dan berhubungan secara langsung, dengan sedikit atau sama sekali tidak ada pilihan yang harus dibuat di dalam memutuskan apa yang harus dilakukan.Tindakan yang akan diambil atau respons yang harus dibuat sudah dapat dilihat. Pekerjaan secara cepat dapat dikuasai.</v>
      </c>
      <c r="AD53" s="107" t="s">
        <v>384</v>
      </c>
      <c r="AE53" s="107" t="s">
        <v>385</v>
      </c>
      <c r="AF53" s="107" t="s">
        <v>386</v>
      </c>
      <c r="AG53" s="107" t="s">
        <v>387</v>
      </c>
      <c r="AH53" s="107" t="s">
        <v>388</v>
      </c>
      <c r="AR53" s="102"/>
    </row>
    <row r="54" spans="1:44" x14ac:dyDescent="0.3">
      <c r="A54" s="140"/>
      <c r="B54" s="142" t="s">
        <v>389</v>
      </c>
      <c r="C54" s="142"/>
      <c r="D54" s="142"/>
      <c r="E54" s="142" t="s">
        <v>2</v>
      </c>
      <c r="F54" s="142" t="s">
        <v>390</v>
      </c>
      <c r="G54" s="149"/>
      <c r="H54" s="149"/>
      <c r="I54" s="149"/>
      <c r="J54" s="149"/>
      <c r="K54" s="149"/>
      <c r="L54" s="149"/>
      <c r="M54" s="149"/>
      <c r="N54" s="149"/>
      <c r="O54" s="149"/>
      <c r="P54" s="149"/>
      <c r="Q54" s="149"/>
      <c r="R54" s="141"/>
      <c r="S54" s="141"/>
      <c r="T54" s="141"/>
      <c r="U54" s="148" t="s">
        <v>319</v>
      </c>
      <c r="V54" s="142" t="s">
        <v>391</v>
      </c>
      <c r="W54" s="142">
        <f>DATA!D25</f>
        <v>1</v>
      </c>
      <c r="X54" s="144" t="s">
        <v>227</v>
      </c>
      <c r="Y54" s="309">
        <f>IF(AND(W54=1),25,IF(AND(W54=2),75,IF(AND(W54=3),150,IF(AND(W54=4),255,IF(AND(W54=5),325,IF(AND(W54=6),450,0))))))</f>
        <v>25</v>
      </c>
      <c r="Z54" s="309"/>
      <c r="AA54" s="142" t="s">
        <v>321</v>
      </c>
      <c r="AC54" s="10" t="s">
        <v>392</v>
      </c>
      <c r="AD54" s="10" t="s">
        <v>393</v>
      </c>
      <c r="AE54" s="10" t="s">
        <v>394</v>
      </c>
      <c r="AF54" s="10" t="s">
        <v>395</v>
      </c>
      <c r="AG54" s="10" t="s">
        <v>396</v>
      </c>
      <c r="AR54" s="102"/>
    </row>
    <row r="55" spans="1:44" ht="43.2" customHeight="1" x14ac:dyDescent="0.3">
      <c r="A55" s="140"/>
      <c r="B55" s="140"/>
      <c r="C55" s="140"/>
      <c r="D55" s="140"/>
      <c r="E55" s="140"/>
      <c r="F55" s="308" t="str">
        <f>"Ruang lingkup jabatan "&amp;$H$9&amp;" "&amp;AC55</f>
        <v xml:space="preserve">Ruang lingkup jabatan Pengadministrasi Perkantoran meliputi pekerjaan tertentu bersifat rutin dengan beberapa prosedur yang terpisah. Hasil  kerja  dan  jasa  yang  diberikan  untuk  memfasilitasi  pekerjaan  orang  lain  tetapi mempunyai sedikit dampak di luar unit organisasi langsung.
</v>
      </c>
      <c r="G55" s="308"/>
      <c r="H55" s="308"/>
      <c r="I55" s="308"/>
      <c r="J55" s="308"/>
      <c r="K55" s="308"/>
      <c r="L55" s="308"/>
      <c r="M55" s="308"/>
      <c r="N55" s="308"/>
      <c r="O55" s="308"/>
      <c r="P55" s="308"/>
      <c r="Q55" s="308"/>
      <c r="R55" s="308"/>
      <c r="S55" s="308"/>
      <c r="T55" s="308"/>
      <c r="U55" s="308"/>
      <c r="V55" s="308"/>
      <c r="W55" s="308"/>
      <c r="X55" s="308"/>
      <c r="Y55" s="308"/>
      <c r="Z55" s="308"/>
      <c r="AA55" s="308"/>
      <c r="AC55" s="109" t="str">
        <f>IF(W54=1,AD55,IF(W54=2,AE55,IF(W54=3,AF55,IF(W54=4,AG55,0))))</f>
        <v xml:space="preserve">meliputi pekerjaan tertentu bersifat rutin dengan beberapa prosedur yang terpisah. Hasil  kerja  dan  jasa  yang  diberikan  untuk  memfasilitasi  pekerjaan  orang  lain  tetapi mempunyai sedikit dampak di luar unit organisasi langsung.
</v>
      </c>
      <c r="AD55" s="109" t="s">
        <v>397</v>
      </c>
      <c r="AE55" s="109" t="s">
        <v>398</v>
      </c>
      <c r="AF55" s="109" t="s">
        <v>399</v>
      </c>
      <c r="AG55" s="109" t="s">
        <v>400</v>
      </c>
      <c r="AR55" s="102"/>
    </row>
    <row r="56" spans="1:44" x14ac:dyDescent="0.3">
      <c r="A56" s="140"/>
      <c r="B56" s="142" t="s">
        <v>401</v>
      </c>
      <c r="C56" s="142"/>
      <c r="D56" s="142"/>
      <c r="E56" s="142" t="s">
        <v>2</v>
      </c>
      <c r="F56" s="142" t="s">
        <v>402</v>
      </c>
      <c r="G56" s="149"/>
      <c r="H56" s="149"/>
      <c r="I56" s="149"/>
      <c r="J56" s="149"/>
      <c r="K56" s="149"/>
      <c r="L56" s="149"/>
      <c r="M56" s="149"/>
      <c r="N56" s="149"/>
      <c r="O56" s="149"/>
      <c r="P56" s="149"/>
      <c r="Q56" s="149"/>
      <c r="R56" s="141"/>
      <c r="S56" s="141"/>
      <c r="T56" s="141"/>
      <c r="U56" s="148" t="s">
        <v>319</v>
      </c>
      <c r="V56" s="142" t="s">
        <v>403</v>
      </c>
      <c r="W56" s="142">
        <f>DATA!D26</f>
        <v>1</v>
      </c>
      <c r="X56" s="144" t="s">
        <v>227</v>
      </c>
      <c r="Y56" s="309">
        <f>IF(AND(W56=1),10,IF(AND(W56=2),25,IF(AND(W56=3),60,IF(AND(W56=4),110,0))))</f>
        <v>10</v>
      </c>
      <c r="Z56" s="309"/>
      <c r="AA56" s="142" t="s">
        <v>321</v>
      </c>
      <c r="AC56" s="10" t="s">
        <v>404</v>
      </c>
      <c r="AD56" s="10" t="s">
        <v>405</v>
      </c>
      <c r="AE56" s="10" t="s">
        <v>406</v>
      </c>
      <c r="AF56" s="10" t="s">
        <v>407</v>
      </c>
      <c r="AR56" s="137" t="s">
        <v>330</v>
      </c>
    </row>
    <row r="57" spans="1:44" ht="44.4" customHeight="1" x14ac:dyDescent="0.3">
      <c r="A57" s="140"/>
      <c r="B57" s="140"/>
      <c r="C57" s="140"/>
      <c r="D57" s="140"/>
      <c r="E57" s="140"/>
      <c r="F57" s="308" t="str">
        <f>"Jabatan "&amp;$H$9&amp;" pada "&amp;AR57&amp;" "&amp;AC57</f>
        <v>Jabatan Pengadministrasi Perkantoran pada Sekretariat Dinas Penanaman Modal dan Pelayanan Terpadu Satu Pintu berhubungan dengan pegawai di unit organisasi, kantor perangkat daerah, atau unit kerja, dan di dalam unit pendukung. Dalam situasi yang tertentu, jabatan ini berhubungan dengan anggota masyarakat luas dengan tujuan hubungan dan siapa berhubungan relatif jelas.</v>
      </c>
      <c r="G57" s="308"/>
      <c r="H57" s="308"/>
      <c r="I57" s="308"/>
      <c r="J57" s="308"/>
      <c r="K57" s="308"/>
      <c r="L57" s="308"/>
      <c r="M57" s="308"/>
      <c r="N57" s="308"/>
      <c r="O57" s="308"/>
      <c r="P57" s="308"/>
      <c r="Q57" s="308"/>
      <c r="R57" s="308"/>
      <c r="S57" s="308"/>
      <c r="T57" s="308"/>
      <c r="U57" s="308"/>
      <c r="V57" s="308"/>
      <c r="W57" s="308"/>
      <c r="X57" s="308"/>
      <c r="Y57" s="308"/>
      <c r="Z57" s="308"/>
      <c r="AA57" s="308"/>
      <c r="AC57" s="109" t="str">
        <f>IF(W56=1,AD57,IF(W56=2,AE57,IF(W56=3,AF57,0)))</f>
        <v>berhubungan dengan pegawai di unit organisasi, kantor perangkat daerah, atau unit kerja, dan di dalam unit pendukung. Dalam situasi yang tertentu, jabatan ini berhubungan dengan anggota masyarakat luas dengan tujuan hubungan dan siapa berhubungan relatif jelas.</v>
      </c>
      <c r="AD57" s="109" t="s">
        <v>408</v>
      </c>
      <c r="AE57" s="109" t="s">
        <v>409</v>
      </c>
      <c r="AF57" s="109" t="s">
        <v>410</v>
      </c>
      <c r="AR57" s="136" t="str">
        <f>IF($H$11="-",$H$12,$H$11)</f>
        <v>Sekretariat Dinas Penanaman Modal dan Pelayanan Terpadu Satu Pintu</v>
      </c>
    </row>
    <row r="58" spans="1:44" x14ac:dyDescent="0.3">
      <c r="A58" s="140"/>
      <c r="B58" s="142" t="s">
        <v>411</v>
      </c>
      <c r="C58" s="142"/>
      <c r="D58" s="142"/>
      <c r="E58" s="142" t="s">
        <v>2</v>
      </c>
      <c r="F58" s="142" t="s">
        <v>412</v>
      </c>
      <c r="G58" s="149"/>
      <c r="H58" s="149"/>
      <c r="I58" s="149"/>
      <c r="J58" s="149"/>
      <c r="K58" s="149"/>
      <c r="L58" s="149"/>
      <c r="M58" s="149"/>
      <c r="N58" s="149"/>
      <c r="O58" s="149"/>
      <c r="P58" s="149"/>
      <c r="Q58" s="149"/>
      <c r="R58" s="141"/>
      <c r="S58" s="141"/>
      <c r="T58" s="141"/>
      <c r="U58" s="148" t="s">
        <v>319</v>
      </c>
      <c r="V58" s="142" t="s">
        <v>413</v>
      </c>
      <c r="W58" s="142">
        <f>DATA!D27</f>
        <v>1</v>
      </c>
      <c r="X58" s="144" t="s">
        <v>227</v>
      </c>
      <c r="Y58" s="309">
        <f>IF(AND(W58=1),20,IF(AND(W58=2),50,IF(AND(W58=3),120,IF(AND(W58=4),220,0))))</f>
        <v>20</v>
      </c>
      <c r="Z58" s="309"/>
      <c r="AA58" s="142" t="s">
        <v>321</v>
      </c>
      <c r="AC58" s="10" t="s">
        <v>414</v>
      </c>
      <c r="AD58" s="10" t="s">
        <v>415</v>
      </c>
      <c r="AE58" s="10" t="s">
        <v>416</v>
      </c>
      <c r="AF58" s="10" t="s">
        <v>417</v>
      </c>
    </row>
    <row r="59" spans="1:44" ht="32.4" customHeight="1" x14ac:dyDescent="0.3">
      <c r="A59" s="140"/>
      <c r="B59" s="140"/>
      <c r="C59" s="140"/>
      <c r="D59" s="140"/>
      <c r="E59" s="140"/>
      <c r="F59" s="314" t="str">
        <f>AC59</f>
        <v>Tujuan hubungan adalah untuk memperoleh, mengklarifikasi, atau memberikan fakta atau informasi tanpa menghiraukan sifat fakta, mulai dari fakta atau informasi yang mudah dimengerti sampai dengan yang sangat teknis.</v>
      </c>
      <c r="G59" s="308"/>
      <c r="H59" s="308"/>
      <c r="I59" s="308"/>
      <c r="J59" s="308"/>
      <c r="K59" s="308"/>
      <c r="L59" s="308"/>
      <c r="M59" s="308"/>
      <c r="N59" s="308"/>
      <c r="O59" s="308"/>
      <c r="P59" s="308"/>
      <c r="Q59" s="308"/>
      <c r="R59" s="308"/>
      <c r="S59" s="308"/>
      <c r="T59" s="308"/>
      <c r="U59" s="308"/>
      <c r="V59" s="308"/>
      <c r="W59" s="308"/>
      <c r="X59" s="308"/>
      <c r="Y59" s="308"/>
      <c r="Z59" s="308"/>
      <c r="AA59" s="308"/>
      <c r="AC59" s="109" t="str">
        <f>IF(W58=1,AD59,IF(W58=2,AE59,IF(W58=3,AF59,0)))</f>
        <v>Tujuan hubungan adalah untuk memperoleh, mengklarifikasi, atau memberikan fakta atau informasi tanpa menghiraukan sifat fakta, mulai dari fakta atau informasi yang mudah dimengerti sampai dengan yang sangat teknis.</v>
      </c>
      <c r="AD59" s="109" t="s">
        <v>418</v>
      </c>
      <c r="AE59" s="109" t="s">
        <v>419</v>
      </c>
      <c r="AF59" s="109" t="s">
        <v>420</v>
      </c>
    </row>
    <row r="60" spans="1:44" ht="18.600000000000001" customHeight="1" x14ac:dyDescent="0.3">
      <c r="A60" s="140"/>
      <c r="B60" s="142" t="s">
        <v>421</v>
      </c>
      <c r="C60" s="142"/>
      <c r="D60" s="142"/>
      <c r="E60" s="142" t="s">
        <v>2</v>
      </c>
      <c r="F60" s="142" t="s">
        <v>422</v>
      </c>
      <c r="G60" s="149"/>
      <c r="H60" s="149"/>
      <c r="I60" s="149"/>
      <c r="J60" s="149"/>
      <c r="K60" s="149"/>
      <c r="L60" s="149"/>
      <c r="M60" s="149"/>
      <c r="N60" s="149"/>
      <c r="O60" s="149"/>
      <c r="P60" s="149"/>
      <c r="Q60" s="149"/>
      <c r="R60" s="141"/>
      <c r="S60" s="141"/>
      <c r="T60" s="141"/>
      <c r="U60" s="148" t="s">
        <v>319</v>
      </c>
      <c r="V60" s="142" t="s">
        <v>423</v>
      </c>
      <c r="W60" s="142">
        <f>DATA!D28</f>
        <v>1</v>
      </c>
      <c r="X60" s="144" t="s">
        <v>227</v>
      </c>
      <c r="Y60" s="309">
        <f>IF(AND(W60=1),5,IF(AND(W60=2),20,IF(AND(W60=3),50,0)))</f>
        <v>5</v>
      </c>
      <c r="Z60" s="309"/>
      <c r="AA60" s="142" t="s">
        <v>321</v>
      </c>
      <c r="AC60" s="10" t="s">
        <v>424</v>
      </c>
      <c r="AD60" s="10" t="s">
        <v>425</v>
      </c>
      <c r="AE60" s="10" t="s">
        <v>426</v>
      </c>
      <c r="AF60" s="10" t="s">
        <v>427</v>
      </c>
    </row>
    <row r="61" spans="1:44" ht="43.95" customHeight="1" x14ac:dyDescent="0.3">
      <c r="A61" s="140"/>
      <c r="B61" s="140"/>
      <c r="C61" s="140"/>
      <c r="D61" s="140"/>
      <c r="E61" s="140"/>
      <c r="F61" s="314" t="str">
        <f>AC61</f>
        <v>Pekerjaan adalah menetap. Pegawai dapat duduk dengan nyaman untuk melakukan pekerjaan. Walaupun demikian mungkin kadang-kadang berjalan, berdiri, menunduk, membawa benda ringan seperti kertas, buku atau bagian yang kecil; atau mengendarai sepeda motor atau mobil.  Tidak  ada  persyaratan  fisik  khusus  yang  dibutuhkan  untuk  melaksanakan pekerjaan.</v>
      </c>
      <c r="G61" s="308"/>
      <c r="H61" s="308"/>
      <c r="I61" s="308"/>
      <c r="J61" s="308"/>
      <c r="K61" s="308"/>
      <c r="L61" s="308"/>
      <c r="M61" s="308"/>
      <c r="N61" s="308"/>
      <c r="O61" s="308"/>
      <c r="P61" s="308"/>
      <c r="Q61" s="308"/>
      <c r="R61" s="308"/>
      <c r="S61" s="308"/>
      <c r="T61" s="308"/>
      <c r="U61" s="308"/>
      <c r="V61" s="308"/>
      <c r="W61" s="308"/>
      <c r="X61" s="308"/>
      <c r="Y61" s="308"/>
      <c r="Z61" s="308"/>
      <c r="AA61" s="308"/>
      <c r="AC61" s="109" t="str">
        <f>IF(W60=1,AD61,IF(W60=2,AE61,IF(W60=3,AF61,0)))</f>
        <v>Pekerjaan adalah menetap. Pegawai dapat duduk dengan nyaman untuk melakukan pekerjaan. Walaupun demikian mungkin kadang-kadang berjalan, berdiri, menunduk, membawa benda ringan seperti kertas, buku atau bagian yang kecil; atau mengendarai sepeda motor atau mobil.  Tidak  ada  persyaratan  fisik  khusus  yang  dibutuhkan  untuk  melaksanakan pekerjaan.</v>
      </c>
      <c r="AD61" s="109" t="s">
        <v>428</v>
      </c>
      <c r="AE61" s="109" t="s">
        <v>429</v>
      </c>
      <c r="AF61" s="109" t="s">
        <v>430</v>
      </c>
    </row>
    <row r="62" spans="1:44" ht="16.2" customHeight="1" x14ac:dyDescent="0.3">
      <c r="A62" s="140"/>
      <c r="B62" s="142" t="s">
        <v>431</v>
      </c>
      <c r="C62" s="142"/>
      <c r="D62" s="142"/>
      <c r="E62" s="142" t="s">
        <v>2</v>
      </c>
      <c r="F62" s="142" t="s">
        <v>432</v>
      </c>
      <c r="G62" s="149"/>
      <c r="H62" s="149"/>
      <c r="I62" s="149"/>
      <c r="J62" s="149"/>
      <c r="K62" s="149"/>
      <c r="L62" s="149"/>
      <c r="M62" s="149"/>
      <c r="N62" s="149"/>
      <c r="O62" s="149"/>
      <c r="P62" s="149"/>
      <c r="Q62" s="149"/>
      <c r="R62" s="141"/>
      <c r="S62" s="141"/>
      <c r="T62" s="141"/>
      <c r="U62" s="148" t="s">
        <v>319</v>
      </c>
      <c r="V62" s="142" t="s">
        <v>433</v>
      </c>
      <c r="W62" s="142">
        <f>DATA!D29</f>
        <v>1</v>
      </c>
      <c r="X62" s="144" t="s">
        <v>227</v>
      </c>
      <c r="Y62" s="309">
        <f>IF(AND(W62=1),5,IF(AND(W62=2),20,IF(AND(W62=3),50,0)))</f>
        <v>5</v>
      </c>
      <c r="Z62" s="309"/>
      <c r="AA62" s="142" t="s">
        <v>321</v>
      </c>
      <c r="AC62" s="10" t="s">
        <v>434</v>
      </c>
      <c r="AD62" s="10" t="s">
        <v>435</v>
      </c>
      <c r="AE62" s="10" t="s">
        <v>436</v>
      </c>
      <c r="AF62" s="10" t="s">
        <v>437</v>
      </c>
    </row>
    <row r="63" spans="1:44" ht="54" customHeight="1" x14ac:dyDescent="0.3">
      <c r="A63" s="140"/>
      <c r="B63" s="140"/>
      <c r="C63" s="140"/>
      <c r="D63" s="140"/>
      <c r="E63" s="140"/>
      <c r="F63" s="308" t="str">
        <f>"Jabatan "&amp;$H$9&amp;" "&amp;AC63</f>
        <v>Jabatan Pengadministrasi Perkantoran melakukan pekerjaan pada lingkungan yang membawa resiko dan ketidaknyamanan setiap hari, yang membutuhkan tindakan pencegahan keamanan khususnya pada tempat-tempat seperti, kantor, ruang rapat dan pelatihan, perpustakaan, perumahan, kendaraan umum; antara lain, penggunaan praktek kerja yang aman pada peralatan kantor, menghindari licin dan jatuh, pengamatan peraturan kebakaran dan tanda lalu lintas. Situasi kerja cukup terang, tidak panas, dan cukup ventilasi.</v>
      </c>
      <c r="G63" s="308"/>
      <c r="H63" s="308"/>
      <c r="I63" s="308"/>
      <c r="J63" s="308"/>
      <c r="K63" s="308"/>
      <c r="L63" s="308"/>
      <c r="M63" s="308"/>
      <c r="N63" s="308"/>
      <c r="O63" s="308"/>
      <c r="P63" s="308"/>
      <c r="Q63" s="308"/>
      <c r="R63" s="308"/>
      <c r="S63" s="308"/>
      <c r="T63" s="308"/>
      <c r="U63" s="308"/>
      <c r="V63" s="308"/>
      <c r="W63" s="308"/>
      <c r="X63" s="308"/>
      <c r="Y63" s="308"/>
      <c r="Z63" s="308"/>
      <c r="AA63" s="308"/>
      <c r="AC63" s="109" t="str">
        <f>IF(W62=1,AD63,IF(W62=2,AE63,IF(W62=3,AF63,0)))</f>
        <v>melakukan pekerjaan pada lingkungan yang membawa resiko dan ketidaknyamanan setiap hari, yang membutuhkan tindakan pencegahan keamanan khususnya pada tempat-tempat seperti, kantor, ruang rapat dan pelatihan, perpustakaan, perumahan, kendaraan umum; antara lain, penggunaan praktek kerja yang aman pada peralatan kantor, menghindari licin dan jatuh, pengamatan peraturan kebakaran dan tanda lalu lintas. Situasi kerja cukup terang, tidak panas, dan cukup ventilasi.</v>
      </c>
      <c r="AD63" s="109" t="s">
        <v>438</v>
      </c>
      <c r="AE63" s="110" t="s">
        <v>439</v>
      </c>
      <c r="AF63" s="109" t="s">
        <v>440</v>
      </c>
    </row>
    <row r="64" spans="1:44" x14ac:dyDescent="0.3">
      <c r="A64" s="140"/>
      <c r="B64" s="140"/>
      <c r="C64" s="140"/>
      <c r="D64" s="140"/>
      <c r="E64" s="140"/>
      <c r="F64" s="140"/>
      <c r="G64" s="141"/>
      <c r="H64" s="141"/>
      <c r="I64" s="141"/>
      <c r="J64" s="141"/>
      <c r="K64" s="141"/>
      <c r="L64" s="141"/>
      <c r="M64" s="141"/>
      <c r="N64" s="141"/>
      <c r="O64" s="141"/>
      <c r="P64" s="141"/>
      <c r="Q64" s="141"/>
      <c r="R64" s="141"/>
      <c r="S64" s="141"/>
      <c r="T64" s="141"/>
      <c r="U64" s="141"/>
      <c r="V64" s="141"/>
      <c r="W64" s="141"/>
      <c r="X64" s="141"/>
      <c r="Y64" s="141"/>
      <c r="Z64" s="141"/>
      <c r="AA64" s="141"/>
    </row>
    <row r="65" spans="1:27" x14ac:dyDescent="0.3">
      <c r="A65" s="142" t="s">
        <v>441</v>
      </c>
      <c r="B65" s="142" t="s">
        <v>442</v>
      </c>
      <c r="C65" s="142"/>
      <c r="D65" s="142"/>
      <c r="E65" s="142"/>
      <c r="F65" s="142"/>
      <c r="G65" s="149"/>
      <c r="H65" s="149"/>
      <c r="I65" s="149"/>
      <c r="J65" s="149"/>
      <c r="K65" s="149"/>
      <c r="L65" s="141"/>
      <c r="M65" s="141"/>
      <c r="N65" s="141"/>
      <c r="O65" s="141"/>
      <c r="P65" s="141"/>
      <c r="Q65" s="141"/>
      <c r="R65" s="141"/>
      <c r="S65" s="141"/>
      <c r="T65" s="141"/>
      <c r="U65" s="141"/>
      <c r="V65" s="141"/>
      <c r="W65" s="141"/>
      <c r="X65" s="141"/>
      <c r="Y65" s="141"/>
      <c r="Z65" s="141"/>
      <c r="AA65" s="141"/>
    </row>
    <row r="66" spans="1:27" x14ac:dyDescent="0.3">
      <c r="A66" s="140"/>
      <c r="B66" s="140" t="s">
        <v>7</v>
      </c>
      <c r="C66" s="140"/>
      <c r="D66" s="140"/>
      <c r="E66" s="140"/>
      <c r="F66" s="140"/>
      <c r="G66" s="141"/>
      <c r="H66" s="141"/>
      <c r="I66" s="141"/>
      <c r="J66" s="141"/>
      <c r="K66" s="141"/>
      <c r="L66" s="141"/>
      <c r="M66" s="141"/>
      <c r="N66" s="141"/>
      <c r="O66" s="141"/>
      <c r="P66" s="141"/>
      <c r="Q66" s="141"/>
      <c r="R66" s="141"/>
      <c r="S66" s="141"/>
      <c r="T66" s="141"/>
      <c r="U66" s="141"/>
      <c r="V66" s="141"/>
      <c r="W66" s="141"/>
      <c r="X66" s="141"/>
      <c r="Y66" s="141"/>
      <c r="Z66" s="141"/>
      <c r="AA66" s="141"/>
    </row>
    <row r="67" spans="1:27" x14ac:dyDescent="0.3">
      <c r="A67" s="140"/>
      <c r="B67" s="140" t="s">
        <v>443</v>
      </c>
      <c r="C67" s="140"/>
      <c r="D67" s="140"/>
      <c r="E67" s="140"/>
      <c r="F67" s="140"/>
      <c r="G67" s="141" t="s">
        <v>2</v>
      </c>
      <c r="H67" s="141"/>
      <c r="I67" s="141"/>
      <c r="J67" s="141"/>
      <c r="K67" s="141"/>
      <c r="L67" s="141"/>
      <c r="M67" s="141"/>
      <c r="N67" s="141"/>
      <c r="O67" s="141"/>
      <c r="P67" s="141"/>
      <c r="Q67" s="141"/>
      <c r="R67" s="141"/>
      <c r="S67" s="141"/>
      <c r="T67" s="141"/>
      <c r="U67" s="141"/>
      <c r="V67" s="141"/>
      <c r="W67" s="141"/>
      <c r="X67" s="141"/>
      <c r="Y67" s="141"/>
      <c r="Z67" s="141"/>
      <c r="AA67" s="141"/>
    </row>
    <row r="68" spans="1:27" x14ac:dyDescent="0.3">
      <c r="A68" s="140"/>
      <c r="B68" s="140"/>
      <c r="C68" s="140"/>
      <c r="D68" s="140"/>
      <c r="E68" s="140"/>
      <c r="F68" s="140"/>
      <c r="G68" s="141"/>
      <c r="H68" s="141"/>
      <c r="I68" s="141"/>
      <c r="J68" s="141"/>
      <c r="K68" s="141"/>
      <c r="L68" s="141"/>
      <c r="M68" s="141"/>
      <c r="N68" s="141"/>
      <c r="O68" s="141"/>
      <c r="P68" s="141"/>
      <c r="Q68" s="141"/>
      <c r="R68" s="141"/>
      <c r="S68" s="141"/>
      <c r="T68" s="141"/>
      <c r="U68" s="141"/>
      <c r="V68" s="141"/>
      <c r="W68" s="141"/>
      <c r="X68" s="141"/>
      <c r="Y68" s="141"/>
      <c r="Z68" s="141"/>
      <c r="AA68" s="141"/>
    </row>
    <row r="69" spans="1:27" x14ac:dyDescent="0.3">
      <c r="A69" s="140"/>
      <c r="B69" s="140"/>
      <c r="C69" s="140"/>
      <c r="D69" s="140"/>
      <c r="E69" s="140"/>
      <c r="F69" s="140"/>
      <c r="G69" s="141"/>
      <c r="H69" s="141"/>
      <c r="I69" s="141"/>
      <c r="J69" s="141"/>
      <c r="K69" s="141"/>
      <c r="L69" s="141"/>
      <c r="M69" s="141"/>
      <c r="N69" s="141"/>
      <c r="O69" s="141"/>
      <c r="P69" s="141"/>
      <c r="Q69" s="141"/>
      <c r="R69" s="141"/>
      <c r="S69" s="141"/>
      <c r="T69" s="141"/>
      <c r="U69" s="141"/>
      <c r="V69" s="141"/>
      <c r="W69" s="141"/>
      <c r="X69" s="141"/>
      <c r="Y69" s="141"/>
      <c r="Z69" s="141"/>
      <c r="AA69" s="141"/>
    </row>
    <row r="70" spans="1:27" x14ac:dyDescent="0.3">
      <c r="A70" s="140"/>
      <c r="B70" s="140"/>
      <c r="C70" s="140"/>
      <c r="D70" s="140"/>
      <c r="E70" s="140"/>
      <c r="F70" s="140"/>
      <c r="G70" s="141"/>
      <c r="H70" s="141"/>
      <c r="I70" s="141"/>
      <c r="J70" s="141"/>
      <c r="K70" s="141"/>
      <c r="L70" s="141"/>
      <c r="M70" s="141"/>
      <c r="N70" s="141"/>
      <c r="O70" s="141"/>
      <c r="P70" s="141"/>
      <c r="Q70" s="141"/>
      <c r="R70" s="141"/>
      <c r="S70" s="141"/>
      <c r="T70" s="141"/>
      <c r="U70" s="141"/>
      <c r="V70" s="141"/>
      <c r="W70" s="141"/>
      <c r="X70" s="141"/>
      <c r="Y70" s="141"/>
      <c r="Z70" s="141"/>
      <c r="AA70" s="141"/>
    </row>
    <row r="71" spans="1:27" x14ac:dyDescent="0.3">
      <c r="A71" s="140"/>
      <c r="B71" s="140"/>
      <c r="C71" s="140"/>
      <c r="D71" s="140"/>
      <c r="E71" s="140"/>
      <c r="F71" s="140"/>
      <c r="G71" s="141"/>
      <c r="H71" s="141"/>
      <c r="I71" s="141"/>
      <c r="J71" s="141"/>
      <c r="K71" s="141"/>
      <c r="L71" s="141"/>
      <c r="M71" s="141"/>
      <c r="N71" s="141"/>
      <c r="O71" s="141"/>
      <c r="P71" s="141"/>
      <c r="Q71" s="141"/>
      <c r="R71" s="141"/>
      <c r="S71" s="141"/>
      <c r="T71" s="141"/>
      <c r="U71" s="141"/>
      <c r="V71" s="141"/>
      <c r="W71" s="141"/>
      <c r="X71" s="141"/>
      <c r="Y71" s="141"/>
      <c r="Z71" s="141"/>
      <c r="AA71" s="141"/>
    </row>
    <row r="72" spans="1:27" x14ac:dyDescent="0.3">
      <c r="A72" s="140"/>
      <c r="B72" s="140"/>
      <c r="C72" s="140"/>
      <c r="D72" s="140"/>
      <c r="E72" s="140"/>
      <c r="F72" s="140"/>
      <c r="G72" s="141"/>
      <c r="H72" s="141"/>
      <c r="I72" s="141"/>
      <c r="J72" s="141"/>
      <c r="K72" s="141"/>
      <c r="L72" s="141"/>
      <c r="M72" s="141"/>
      <c r="N72" s="141"/>
      <c r="O72" s="141"/>
      <c r="P72" s="141"/>
      <c r="Q72" s="141"/>
      <c r="R72" s="141"/>
      <c r="S72" s="141"/>
      <c r="T72" s="141"/>
      <c r="U72" s="141"/>
      <c r="V72" s="141"/>
      <c r="W72" s="141"/>
      <c r="X72" s="141"/>
      <c r="Y72" s="141"/>
      <c r="Z72" s="141"/>
      <c r="AA72" s="141"/>
    </row>
    <row r="73" spans="1:27" x14ac:dyDescent="0.3">
      <c r="A73" s="140"/>
      <c r="B73" s="140"/>
      <c r="C73" s="140"/>
      <c r="D73" s="140"/>
      <c r="E73" s="140"/>
      <c r="F73" s="140"/>
      <c r="G73" s="141"/>
      <c r="H73" s="141"/>
      <c r="I73" s="141"/>
      <c r="J73" s="141"/>
      <c r="K73" s="141"/>
      <c r="L73" s="141"/>
      <c r="M73" s="141"/>
      <c r="N73" s="141"/>
      <c r="O73" s="141"/>
      <c r="P73" s="141"/>
      <c r="Q73" s="141"/>
      <c r="R73" s="141"/>
      <c r="S73" s="141"/>
      <c r="T73" s="141"/>
      <c r="U73" s="141"/>
      <c r="V73" s="141"/>
      <c r="W73" s="141"/>
      <c r="X73" s="141"/>
      <c r="Y73" s="141"/>
      <c r="Z73" s="141"/>
      <c r="AA73" s="141"/>
    </row>
    <row r="74" spans="1:27" ht="14.4" customHeight="1" x14ac:dyDescent="0.3">
      <c r="A74" s="255" t="s">
        <v>444</v>
      </c>
      <c r="B74" s="255"/>
      <c r="C74" s="255"/>
      <c r="D74" s="255"/>
      <c r="E74" s="255"/>
      <c r="F74" s="255"/>
      <c r="G74" s="255"/>
      <c r="H74" s="255"/>
      <c r="I74" s="255"/>
      <c r="J74" s="255"/>
      <c r="K74" s="255"/>
      <c r="L74" s="255"/>
      <c r="M74" s="255"/>
      <c r="N74" s="255"/>
      <c r="O74" s="255"/>
      <c r="P74" s="255"/>
      <c r="Q74" s="255"/>
      <c r="R74" s="255"/>
      <c r="S74" s="255"/>
      <c r="T74" s="255"/>
      <c r="U74" s="255"/>
      <c r="V74" s="255"/>
      <c r="W74" s="255"/>
      <c r="X74" s="255"/>
      <c r="Y74" s="255"/>
      <c r="Z74" s="255"/>
      <c r="AA74" s="255"/>
    </row>
    <row r="75" spans="1:27" x14ac:dyDescent="0.3">
      <c r="A75" s="140"/>
      <c r="B75" s="140"/>
      <c r="C75" s="140"/>
      <c r="D75" s="140"/>
      <c r="E75" s="140"/>
      <c r="F75" s="140"/>
      <c r="G75" s="141"/>
      <c r="H75" s="141"/>
      <c r="I75" s="141"/>
      <c r="J75" s="141"/>
      <c r="K75" s="141"/>
      <c r="L75" s="141"/>
      <c r="M75" s="141"/>
      <c r="N75" s="141"/>
      <c r="O75" s="141"/>
      <c r="P75" s="141"/>
      <c r="Q75" s="141"/>
      <c r="R75" s="141"/>
      <c r="S75" s="141"/>
      <c r="T75" s="141"/>
      <c r="U75" s="141"/>
      <c r="V75" s="141"/>
      <c r="W75" s="141"/>
      <c r="X75" s="141"/>
      <c r="Y75" s="141"/>
      <c r="Z75" s="141"/>
      <c r="AA75" s="141"/>
    </row>
    <row r="76" spans="1:27" x14ac:dyDescent="0.3">
      <c r="A76" s="307" t="s">
        <v>119</v>
      </c>
      <c r="B76" s="307"/>
      <c r="C76" s="307"/>
      <c r="D76" s="307"/>
      <c r="E76" s="307"/>
      <c r="F76" s="307"/>
      <c r="G76" s="307"/>
      <c r="H76" s="307"/>
      <c r="I76" s="143" t="s">
        <v>2</v>
      </c>
      <c r="J76" s="312" t="str">
        <f>'URAIAN JABATAN'!G9</f>
        <v>Pengadministrasi Perkantoran</v>
      </c>
      <c r="K76" s="312"/>
      <c r="L76" s="312"/>
      <c r="M76" s="312"/>
      <c r="N76" s="312"/>
      <c r="O76" s="312"/>
      <c r="P76" s="312"/>
      <c r="Q76" s="312"/>
      <c r="R76" s="312"/>
      <c r="S76" s="312"/>
      <c r="T76" s="312"/>
      <c r="U76" s="312"/>
      <c r="V76" s="312"/>
      <c r="W76" s="312"/>
      <c r="X76" s="312"/>
      <c r="Y76" s="312"/>
      <c r="Z76" s="312"/>
      <c r="AA76" s="312"/>
    </row>
    <row r="77" spans="1:27" x14ac:dyDescent="0.3">
      <c r="A77" s="307" t="s">
        <v>303</v>
      </c>
      <c r="B77" s="307"/>
      <c r="C77" s="307"/>
      <c r="D77" s="307"/>
      <c r="E77" s="307"/>
      <c r="F77" s="307"/>
      <c r="G77" s="307"/>
      <c r="H77" s="307"/>
      <c r="I77" s="143" t="s">
        <v>2</v>
      </c>
      <c r="J77" s="139"/>
      <c r="K77" s="139"/>
      <c r="L77" s="139"/>
      <c r="M77" s="139"/>
      <c r="N77" s="139"/>
      <c r="O77" s="139"/>
      <c r="P77" s="139"/>
      <c r="Q77" s="139"/>
      <c r="R77" s="139"/>
      <c r="S77" s="139"/>
      <c r="T77" s="139"/>
      <c r="U77" s="139"/>
      <c r="V77" s="139"/>
      <c r="W77" s="139"/>
      <c r="X77" s="139"/>
      <c r="Y77" s="139"/>
      <c r="Z77" s="139"/>
      <c r="AA77" s="139"/>
    </row>
    <row r="78" spans="1:27" ht="23.4" customHeight="1" x14ac:dyDescent="0.3">
      <c r="A78" s="143" t="s">
        <v>7</v>
      </c>
      <c r="B78" s="141" t="s">
        <v>126</v>
      </c>
      <c r="C78" s="141"/>
      <c r="D78" s="141"/>
      <c r="E78" s="141"/>
      <c r="F78" s="141"/>
      <c r="G78" s="141"/>
      <c r="H78" s="141"/>
      <c r="I78" s="143" t="s">
        <v>2</v>
      </c>
      <c r="J78" s="308" t="str">
        <f>'URAIAN JABATAN'!G14</f>
        <v>-</v>
      </c>
      <c r="K78" s="308"/>
      <c r="L78" s="308"/>
      <c r="M78" s="308"/>
      <c r="N78" s="308"/>
      <c r="O78" s="308"/>
      <c r="P78" s="308"/>
      <c r="Q78" s="308"/>
      <c r="R78" s="308"/>
      <c r="S78" s="308"/>
      <c r="T78" s="308"/>
      <c r="U78" s="308"/>
      <c r="V78" s="308"/>
      <c r="W78" s="308"/>
      <c r="X78" s="308"/>
      <c r="Y78" s="308"/>
      <c r="Z78" s="308"/>
      <c r="AA78" s="308"/>
    </row>
    <row r="79" spans="1:27" ht="23.4" customHeight="1" x14ac:dyDescent="0.3">
      <c r="A79" s="143" t="s">
        <v>7</v>
      </c>
      <c r="B79" s="141" t="s">
        <v>125</v>
      </c>
      <c r="C79" s="141"/>
      <c r="D79" s="141"/>
      <c r="E79" s="141"/>
      <c r="F79" s="141"/>
      <c r="G79" s="141"/>
      <c r="H79" s="141"/>
      <c r="I79" s="143" t="s">
        <v>2</v>
      </c>
      <c r="J79" s="308" t="str">
        <f>'URAIAN JABATAN'!G13</f>
        <v>Sekretariat Dinas Penanaman Modal dan Pelayanan Terpadu Satu Pintu</v>
      </c>
      <c r="K79" s="308"/>
      <c r="L79" s="308"/>
      <c r="M79" s="308"/>
      <c r="N79" s="308"/>
      <c r="O79" s="308"/>
      <c r="P79" s="308"/>
      <c r="Q79" s="308"/>
      <c r="R79" s="308"/>
      <c r="S79" s="308"/>
      <c r="T79" s="308"/>
      <c r="U79" s="308"/>
      <c r="V79" s="308"/>
      <c r="W79" s="308"/>
      <c r="X79" s="308"/>
      <c r="Y79" s="308"/>
      <c r="Z79" s="308"/>
      <c r="AA79" s="308"/>
    </row>
    <row r="80" spans="1:27" ht="23.4" customHeight="1" x14ac:dyDescent="0.3">
      <c r="A80" s="328" t="s">
        <v>445</v>
      </c>
      <c r="B80" s="328"/>
      <c r="C80" s="328"/>
      <c r="D80" s="328"/>
      <c r="E80" s="328"/>
      <c r="F80" s="328"/>
      <c r="G80" s="328"/>
      <c r="H80" s="328"/>
      <c r="I80" s="143" t="s">
        <v>2</v>
      </c>
      <c r="J80" s="308" t="str">
        <f>'URAIAN JABATAN'!G12</f>
        <v>Dinas Penanaman Modal dan Pelayanan Terpadu Satu Pintu</v>
      </c>
      <c r="K80" s="308"/>
      <c r="L80" s="308"/>
      <c r="M80" s="308"/>
      <c r="N80" s="308"/>
      <c r="O80" s="308"/>
      <c r="P80" s="308"/>
      <c r="Q80" s="308"/>
      <c r="R80" s="308"/>
      <c r="S80" s="308"/>
      <c r="T80" s="308"/>
      <c r="U80" s="308"/>
      <c r="V80" s="308"/>
      <c r="W80" s="308"/>
      <c r="X80" s="308"/>
      <c r="Y80" s="308"/>
      <c r="Z80" s="308"/>
      <c r="AA80" s="308"/>
    </row>
    <row r="81" spans="1:38" ht="5.25" customHeight="1" x14ac:dyDescent="0.3">
      <c r="A81" s="138"/>
      <c r="B81" s="138"/>
      <c r="C81" s="138"/>
      <c r="D81" s="138"/>
      <c r="E81" s="138"/>
      <c r="F81" s="138"/>
      <c r="G81" s="150"/>
      <c r="H81" s="150"/>
      <c r="I81" s="150"/>
      <c r="J81" s="150"/>
      <c r="K81" s="150"/>
      <c r="L81" s="150"/>
      <c r="M81" s="150"/>
      <c r="N81" s="150"/>
      <c r="O81" s="150"/>
      <c r="P81" s="150"/>
      <c r="Q81" s="150"/>
      <c r="R81" s="150"/>
      <c r="S81" s="150"/>
      <c r="T81" s="150"/>
      <c r="U81" s="150"/>
      <c r="V81" s="150"/>
      <c r="W81" s="150"/>
      <c r="X81" s="150"/>
      <c r="Y81" s="150"/>
      <c r="Z81" s="150"/>
      <c r="AA81" s="150"/>
    </row>
    <row r="82" spans="1:38" ht="53.25" customHeight="1" x14ac:dyDescent="0.3">
      <c r="A82" s="313" t="s">
        <v>446</v>
      </c>
      <c r="B82" s="313"/>
      <c r="C82" s="313"/>
      <c r="D82" s="313"/>
      <c r="E82" s="313"/>
      <c r="F82" s="313"/>
      <c r="G82" s="313"/>
      <c r="H82" s="313"/>
      <c r="I82" s="313"/>
      <c r="J82" s="313"/>
      <c r="K82" s="313"/>
      <c r="L82" s="313"/>
      <c r="M82" s="313" t="s">
        <v>447</v>
      </c>
      <c r="N82" s="313"/>
      <c r="O82" s="313"/>
      <c r="P82" s="313"/>
      <c r="Q82" s="313" t="s">
        <v>448</v>
      </c>
      <c r="R82" s="313"/>
      <c r="S82" s="313"/>
      <c r="T82" s="313"/>
      <c r="U82" s="313" t="s">
        <v>449</v>
      </c>
      <c r="V82" s="313"/>
      <c r="W82" s="313"/>
      <c r="X82" s="313"/>
      <c r="Y82" s="313"/>
      <c r="Z82" s="313"/>
      <c r="AA82" s="313"/>
    </row>
    <row r="83" spans="1:38" s="101" customFormat="1" ht="16.2" customHeight="1" x14ac:dyDescent="0.2">
      <c r="A83" s="151" t="s">
        <v>118</v>
      </c>
      <c r="B83" s="152" t="s">
        <v>450</v>
      </c>
      <c r="C83" s="152"/>
      <c r="D83" s="152"/>
      <c r="E83" s="152" t="s">
        <v>2</v>
      </c>
      <c r="F83" s="318" t="s">
        <v>451</v>
      </c>
      <c r="G83" s="318"/>
      <c r="H83" s="318"/>
      <c r="I83" s="318"/>
      <c r="J83" s="318"/>
      <c r="K83" s="318"/>
      <c r="L83" s="319"/>
      <c r="M83" s="320">
        <f>Y45</f>
        <v>350</v>
      </c>
      <c r="N83" s="320"/>
      <c r="O83" s="320"/>
      <c r="P83" s="320"/>
      <c r="Q83" s="320"/>
      <c r="R83" s="320"/>
      <c r="S83" s="320"/>
      <c r="T83" s="320"/>
      <c r="U83" s="310" t="s">
        <v>452</v>
      </c>
      <c r="V83" s="311"/>
      <c r="W83" s="311"/>
      <c r="X83" s="311"/>
      <c r="Y83" s="311"/>
      <c r="Z83" s="153" t="s">
        <v>7</v>
      </c>
      <c r="AA83" s="154">
        <f>W45</f>
        <v>3</v>
      </c>
      <c r="AC83" s="111"/>
      <c r="AD83" s="111"/>
      <c r="AE83" s="111"/>
      <c r="AF83" s="111"/>
      <c r="AG83" s="111"/>
      <c r="AH83" s="111"/>
      <c r="AI83" s="111"/>
      <c r="AJ83" s="111"/>
      <c r="AK83" s="112"/>
      <c r="AL83" s="112"/>
    </row>
    <row r="84" spans="1:38" s="101" customFormat="1" ht="16.2" customHeight="1" x14ac:dyDescent="0.2">
      <c r="A84" s="155" t="s">
        <v>120</v>
      </c>
      <c r="B84" s="156" t="s">
        <v>453</v>
      </c>
      <c r="C84" s="156"/>
      <c r="D84" s="156"/>
      <c r="E84" s="156" t="s">
        <v>2</v>
      </c>
      <c r="F84" s="299" t="s">
        <v>454</v>
      </c>
      <c r="G84" s="299"/>
      <c r="H84" s="299"/>
      <c r="I84" s="299"/>
      <c r="J84" s="299"/>
      <c r="K84" s="299"/>
      <c r="L84" s="300"/>
      <c r="M84" s="304">
        <f>Y47</f>
        <v>25</v>
      </c>
      <c r="N84" s="304"/>
      <c r="O84" s="304"/>
      <c r="P84" s="304"/>
      <c r="Q84" s="304"/>
      <c r="R84" s="304"/>
      <c r="S84" s="304"/>
      <c r="T84" s="304"/>
      <c r="U84" s="295" t="s">
        <v>455</v>
      </c>
      <c r="V84" s="296"/>
      <c r="W84" s="296"/>
      <c r="X84" s="296"/>
      <c r="Y84" s="296"/>
      <c r="Z84" s="156" t="s">
        <v>7</v>
      </c>
      <c r="AA84" s="157">
        <f>W47</f>
        <v>1</v>
      </c>
      <c r="AC84" s="111"/>
      <c r="AD84" s="111"/>
      <c r="AE84" s="111"/>
      <c r="AF84" s="111"/>
      <c r="AG84" s="111"/>
      <c r="AH84" s="111"/>
      <c r="AI84" s="111"/>
      <c r="AJ84" s="111"/>
      <c r="AK84" s="112"/>
      <c r="AL84" s="112"/>
    </row>
    <row r="85" spans="1:38" s="101" customFormat="1" ht="16.2" customHeight="1" x14ac:dyDescent="0.2">
      <c r="A85" s="155" t="s">
        <v>122</v>
      </c>
      <c r="B85" s="156" t="s">
        <v>456</v>
      </c>
      <c r="C85" s="156"/>
      <c r="D85" s="156"/>
      <c r="E85" s="156" t="s">
        <v>2</v>
      </c>
      <c r="F85" s="299" t="s">
        <v>457</v>
      </c>
      <c r="G85" s="299"/>
      <c r="H85" s="299"/>
      <c r="I85" s="299"/>
      <c r="J85" s="299"/>
      <c r="K85" s="299"/>
      <c r="L85" s="300"/>
      <c r="M85" s="304">
        <f>Y50</f>
        <v>25</v>
      </c>
      <c r="N85" s="304"/>
      <c r="O85" s="304"/>
      <c r="P85" s="304"/>
      <c r="Q85" s="304"/>
      <c r="R85" s="304"/>
      <c r="S85" s="304"/>
      <c r="T85" s="304"/>
      <c r="U85" s="295" t="s">
        <v>458</v>
      </c>
      <c r="V85" s="296"/>
      <c r="W85" s="296"/>
      <c r="X85" s="296"/>
      <c r="Y85" s="296"/>
      <c r="Z85" s="156" t="s">
        <v>7</v>
      </c>
      <c r="AA85" s="157">
        <f>W50</f>
        <v>1</v>
      </c>
      <c r="AC85" s="111"/>
      <c r="AD85" s="111"/>
      <c r="AE85" s="111"/>
      <c r="AF85" s="111"/>
      <c r="AG85" s="111"/>
      <c r="AH85" s="111"/>
      <c r="AI85" s="111"/>
      <c r="AJ85" s="111"/>
      <c r="AK85" s="112"/>
      <c r="AL85" s="112"/>
    </row>
    <row r="86" spans="1:38" s="101" customFormat="1" ht="16.2" customHeight="1" x14ac:dyDescent="0.2">
      <c r="A86" s="158" t="s">
        <v>127</v>
      </c>
      <c r="B86" s="159" t="s">
        <v>459</v>
      </c>
      <c r="C86" s="159"/>
      <c r="D86" s="159"/>
      <c r="E86" s="159" t="s">
        <v>2</v>
      </c>
      <c r="F86" s="299" t="s">
        <v>460</v>
      </c>
      <c r="G86" s="299"/>
      <c r="H86" s="299"/>
      <c r="I86" s="299"/>
      <c r="J86" s="299"/>
      <c r="K86" s="299"/>
      <c r="L86" s="300"/>
      <c r="M86" s="327">
        <f>Y52</f>
        <v>25</v>
      </c>
      <c r="N86" s="327"/>
      <c r="O86" s="327"/>
      <c r="P86" s="327"/>
      <c r="Q86" s="327"/>
      <c r="R86" s="327"/>
      <c r="S86" s="327"/>
      <c r="T86" s="327"/>
      <c r="U86" s="295" t="s">
        <v>461</v>
      </c>
      <c r="V86" s="296"/>
      <c r="W86" s="296"/>
      <c r="X86" s="296"/>
      <c r="Y86" s="296"/>
      <c r="Z86" s="156" t="s">
        <v>7</v>
      </c>
      <c r="AA86" s="160">
        <f>W52</f>
        <v>1</v>
      </c>
      <c r="AC86" s="111"/>
      <c r="AD86" s="111"/>
      <c r="AE86" s="111"/>
      <c r="AF86" s="111"/>
      <c r="AG86" s="111"/>
      <c r="AH86" s="111"/>
      <c r="AI86" s="111"/>
      <c r="AJ86" s="111"/>
      <c r="AK86" s="112"/>
      <c r="AL86" s="112"/>
    </row>
    <row r="87" spans="1:38" s="101" customFormat="1" ht="16.2" customHeight="1" x14ac:dyDescent="0.2">
      <c r="A87" s="155" t="s">
        <v>129</v>
      </c>
      <c r="B87" s="156" t="s">
        <v>462</v>
      </c>
      <c r="C87" s="156"/>
      <c r="D87" s="156"/>
      <c r="E87" s="156" t="s">
        <v>2</v>
      </c>
      <c r="F87" s="299" t="s">
        <v>463</v>
      </c>
      <c r="G87" s="299"/>
      <c r="H87" s="299"/>
      <c r="I87" s="299"/>
      <c r="J87" s="299"/>
      <c r="K87" s="299"/>
      <c r="L87" s="300"/>
      <c r="M87" s="304">
        <f>Y54</f>
        <v>25</v>
      </c>
      <c r="N87" s="304"/>
      <c r="O87" s="304"/>
      <c r="P87" s="304"/>
      <c r="Q87" s="304"/>
      <c r="R87" s="304"/>
      <c r="S87" s="304"/>
      <c r="T87" s="304"/>
      <c r="U87" s="295" t="s">
        <v>464</v>
      </c>
      <c r="V87" s="296"/>
      <c r="W87" s="296"/>
      <c r="X87" s="296"/>
      <c r="Y87" s="296"/>
      <c r="Z87" s="156" t="s">
        <v>7</v>
      </c>
      <c r="AA87" s="157">
        <f>W54</f>
        <v>1</v>
      </c>
      <c r="AC87" s="111"/>
      <c r="AD87" s="111"/>
      <c r="AE87" s="111"/>
      <c r="AF87" s="111"/>
      <c r="AG87" s="111"/>
      <c r="AH87" s="111"/>
      <c r="AI87" s="111"/>
      <c r="AJ87" s="111"/>
      <c r="AK87" s="112"/>
      <c r="AL87" s="112"/>
    </row>
    <row r="88" spans="1:38" s="101" customFormat="1" ht="16.2" customHeight="1" x14ac:dyDescent="0.2">
      <c r="A88" s="155" t="s">
        <v>131</v>
      </c>
      <c r="B88" s="156" t="s">
        <v>465</v>
      </c>
      <c r="C88" s="156"/>
      <c r="D88" s="156"/>
      <c r="E88" s="156" t="s">
        <v>2</v>
      </c>
      <c r="F88" s="299" t="s">
        <v>466</v>
      </c>
      <c r="G88" s="299"/>
      <c r="H88" s="299"/>
      <c r="I88" s="299"/>
      <c r="J88" s="299"/>
      <c r="K88" s="299"/>
      <c r="L88" s="300"/>
      <c r="M88" s="304">
        <f>Y56</f>
        <v>10</v>
      </c>
      <c r="N88" s="304"/>
      <c r="O88" s="304"/>
      <c r="P88" s="304"/>
      <c r="Q88" s="304"/>
      <c r="R88" s="304"/>
      <c r="S88" s="304"/>
      <c r="T88" s="304"/>
      <c r="U88" s="295" t="s">
        <v>467</v>
      </c>
      <c r="V88" s="296"/>
      <c r="W88" s="296"/>
      <c r="X88" s="296"/>
      <c r="Y88" s="296"/>
      <c r="Z88" s="156" t="s">
        <v>7</v>
      </c>
      <c r="AA88" s="157">
        <f>W56</f>
        <v>1</v>
      </c>
      <c r="AC88" s="111"/>
      <c r="AD88" s="111"/>
      <c r="AE88" s="111"/>
      <c r="AF88" s="111"/>
      <c r="AG88" s="111"/>
      <c r="AH88" s="111"/>
      <c r="AI88" s="111"/>
      <c r="AJ88" s="111"/>
      <c r="AK88" s="112"/>
      <c r="AL88" s="112"/>
    </row>
    <row r="89" spans="1:38" s="101" customFormat="1" ht="16.2" customHeight="1" x14ac:dyDescent="0.2">
      <c r="A89" s="155" t="s">
        <v>140</v>
      </c>
      <c r="B89" s="156" t="s">
        <v>468</v>
      </c>
      <c r="C89" s="156"/>
      <c r="D89" s="156"/>
      <c r="E89" s="156" t="s">
        <v>2</v>
      </c>
      <c r="F89" s="299" t="s">
        <v>469</v>
      </c>
      <c r="G89" s="299"/>
      <c r="H89" s="299"/>
      <c r="I89" s="299"/>
      <c r="J89" s="299"/>
      <c r="K89" s="299"/>
      <c r="L89" s="300"/>
      <c r="M89" s="304">
        <f>Y58</f>
        <v>20</v>
      </c>
      <c r="N89" s="304"/>
      <c r="O89" s="304"/>
      <c r="P89" s="304"/>
      <c r="Q89" s="304"/>
      <c r="R89" s="304"/>
      <c r="S89" s="304"/>
      <c r="T89" s="304"/>
      <c r="U89" s="295" t="s">
        <v>470</v>
      </c>
      <c r="V89" s="296"/>
      <c r="W89" s="296"/>
      <c r="X89" s="296"/>
      <c r="Y89" s="296"/>
      <c r="Z89" s="156" t="s">
        <v>7</v>
      </c>
      <c r="AA89" s="157">
        <f>W58</f>
        <v>1</v>
      </c>
      <c r="AC89" s="111"/>
      <c r="AD89" s="111"/>
      <c r="AE89" s="111"/>
      <c r="AF89" s="111"/>
      <c r="AG89" s="111"/>
      <c r="AH89" s="111"/>
      <c r="AI89" s="111"/>
      <c r="AJ89" s="111"/>
      <c r="AK89" s="112"/>
      <c r="AL89" s="112"/>
    </row>
    <row r="90" spans="1:38" s="101" customFormat="1" ht="16.2" customHeight="1" x14ac:dyDescent="0.2">
      <c r="A90" s="155" t="s">
        <v>153</v>
      </c>
      <c r="B90" s="156" t="s">
        <v>471</v>
      </c>
      <c r="C90" s="156"/>
      <c r="D90" s="156"/>
      <c r="E90" s="156" t="s">
        <v>2</v>
      </c>
      <c r="F90" s="299" t="s">
        <v>472</v>
      </c>
      <c r="G90" s="299"/>
      <c r="H90" s="299"/>
      <c r="I90" s="299"/>
      <c r="J90" s="299"/>
      <c r="K90" s="299"/>
      <c r="L90" s="300"/>
      <c r="M90" s="304">
        <f>Y60</f>
        <v>5</v>
      </c>
      <c r="N90" s="304"/>
      <c r="O90" s="304"/>
      <c r="P90" s="304"/>
      <c r="Q90" s="304"/>
      <c r="R90" s="304"/>
      <c r="S90" s="304"/>
      <c r="T90" s="304"/>
      <c r="U90" s="295" t="s">
        <v>473</v>
      </c>
      <c r="V90" s="296"/>
      <c r="W90" s="296"/>
      <c r="X90" s="296"/>
      <c r="Y90" s="296"/>
      <c r="Z90" s="156" t="s">
        <v>7</v>
      </c>
      <c r="AA90" s="157">
        <f>W60</f>
        <v>1</v>
      </c>
      <c r="AC90" s="111"/>
      <c r="AD90" s="111"/>
      <c r="AE90" s="111"/>
      <c r="AF90" s="111"/>
      <c r="AG90" s="111"/>
      <c r="AH90" s="111"/>
      <c r="AI90" s="111"/>
      <c r="AJ90" s="111"/>
      <c r="AK90" s="112"/>
      <c r="AL90" s="112"/>
    </row>
    <row r="91" spans="1:38" s="101" customFormat="1" ht="16.2" customHeight="1" x14ac:dyDescent="0.2">
      <c r="A91" s="161" t="s">
        <v>162</v>
      </c>
      <c r="B91" s="162" t="s">
        <v>474</v>
      </c>
      <c r="C91" s="162"/>
      <c r="D91" s="162"/>
      <c r="E91" s="162" t="s">
        <v>2</v>
      </c>
      <c r="F91" s="301" t="s">
        <v>475</v>
      </c>
      <c r="G91" s="301"/>
      <c r="H91" s="301"/>
      <c r="I91" s="301"/>
      <c r="J91" s="301"/>
      <c r="K91" s="301"/>
      <c r="L91" s="302"/>
      <c r="M91" s="303">
        <f>Y62</f>
        <v>5</v>
      </c>
      <c r="N91" s="303"/>
      <c r="O91" s="303"/>
      <c r="P91" s="303"/>
      <c r="Q91" s="303"/>
      <c r="R91" s="303"/>
      <c r="S91" s="303"/>
      <c r="T91" s="303"/>
      <c r="U91" s="297" t="s">
        <v>476</v>
      </c>
      <c r="V91" s="298"/>
      <c r="W91" s="298"/>
      <c r="X91" s="298"/>
      <c r="Y91" s="298"/>
      <c r="Z91" s="162" t="s">
        <v>7</v>
      </c>
      <c r="AA91" s="163">
        <f>W62</f>
        <v>1</v>
      </c>
      <c r="AC91" s="111"/>
      <c r="AD91" s="111"/>
      <c r="AE91" s="111"/>
      <c r="AF91" s="111"/>
      <c r="AG91" s="111"/>
      <c r="AH91" s="111"/>
      <c r="AI91" s="111"/>
      <c r="AJ91" s="111"/>
      <c r="AK91" s="112"/>
      <c r="AL91" s="112"/>
    </row>
    <row r="92" spans="1:38" ht="67.95" customHeight="1" x14ac:dyDescent="0.3">
      <c r="A92" s="323" t="s">
        <v>477</v>
      </c>
      <c r="B92" s="292" t="s">
        <v>478</v>
      </c>
      <c r="C92" s="293"/>
      <c r="D92" s="293"/>
      <c r="E92" s="293"/>
      <c r="F92" s="293"/>
      <c r="G92" s="293"/>
      <c r="H92" s="293"/>
      <c r="I92" s="293"/>
      <c r="J92" s="293"/>
      <c r="K92" s="293"/>
      <c r="L92" s="294"/>
      <c r="M92" s="306">
        <f>SUM(M83:P91)</f>
        <v>490</v>
      </c>
      <c r="N92" s="306"/>
      <c r="O92" s="306"/>
      <c r="P92" s="306"/>
      <c r="Q92" s="306"/>
      <c r="R92" s="306"/>
      <c r="S92" s="306"/>
      <c r="T92" s="306"/>
      <c r="U92" s="292"/>
      <c r="V92" s="293"/>
      <c r="W92" s="293"/>
      <c r="X92" s="293"/>
      <c r="Y92" s="293"/>
      <c r="Z92" s="293"/>
      <c r="AA92" s="294"/>
    </row>
    <row r="93" spans="1:38" ht="64.2" customHeight="1" x14ac:dyDescent="0.3">
      <c r="A93" s="324"/>
      <c r="B93" s="305" t="s">
        <v>479</v>
      </c>
      <c r="C93" s="305"/>
      <c r="D93" s="305"/>
      <c r="E93" s="305"/>
      <c r="F93" s="305"/>
      <c r="G93" s="305"/>
      <c r="H93" s="305"/>
      <c r="I93" s="305"/>
      <c r="J93" s="305"/>
      <c r="K93" s="305"/>
      <c r="L93" s="305"/>
      <c r="M93" s="305" t="str">
        <f>IF(M92&gt;=4055,"17",IF(M92&gt;=3605,"16",IF(M92&gt;=3155,"15",IF(M92&gt;=2755,"14",IF(M92&gt;=2355,"13",IF(M92&gt;=2105,"12",IF(M92&gt;=1855,"11",IF(M92&gt;=1605,"10",IF(M92&gt;=1355,"9",IF(M92&gt;=1105,"8",IF(M92&gt;=855,"7",IF(M92&gt;=655,"6",IF(M92&gt;=455,"5",IF(M92&gt;=375,"4",IF(M92&gt;=305,"3",IF(M92&gt;=245,"2",IF(M92&gt;=190,"1")))))))))))))))))</f>
        <v>5</v>
      </c>
      <c r="N93" s="305"/>
      <c r="O93" s="305"/>
      <c r="P93" s="305"/>
      <c r="Q93" s="305"/>
      <c r="R93" s="305"/>
      <c r="S93" s="305"/>
      <c r="T93" s="305"/>
      <c r="U93" s="164" t="s">
        <v>319</v>
      </c>
      <c r="V93" s="291" t="str">
        <f>IF(M93="15","3155-3600",IF(M93="14","2755-3150",IF(M93="13","2355-2750",IF(M93="12","2105-2350",IF(M93="11","1855-2100",IF(M93="10","1605-1850",IF(M93="9","1355-1600",IF(M93="8","1105-1350",IF(M93="7","855-1100",IF(M93="6","655-850",IF(M93="5","455-650",IF(M93="4","375-450",IF(M93="3","305-570")))))))))))))</f>
        <v>455-650</v>
      </c>
      <c r="W93" s="291"/>
      <c r="X93" s="291"/>
      <c r="Y93" s="291"/>
      <c r="Z93" s="291"/>
      <c r="AA93" s="165" t="s">
        <v>321</v>
      </c>
    </row>
    <row r="94" spans="1:38" x14ac:dyDescent="0.3">
      <c r="A94" s="138"/>
      <c r="B94" s="138"/>
      <c r="C94" s="138"/>
      <c r="D94" s="138"/>
      <c r="E94" s="138"/>
      <c r="F94" s="138"/>
      <c r="G94" s="150"/>
      <c r="H94" s="150"/>
      <c r="I94" s="150"/>
      <c r="J94" s="150"/>
      <c r="K94" s="150"/>
      <c r="L94" s="150"/>
      <c r="M94" s="150"/>
      <c r="N94" s="150"/>
      <c r="O94" s="150"/>
      <c r="P94" s="150"/>
      <c r="Q94" s="150"/>
      <c r="R94" s="150"/>
      <c r="S94" s="150"/>
      <c r="T94" s="150"/>
      <c r="U94" s="150"/>
      <c r="V94" s="150"/>
      <c r="W94" s="150"/>
      <c r="X94" s="150"/>
      <c r="Y94" s="150"/>
      <c r="Z94" s="150"/>
      <c r="AA94" s="150"/>
    </row>
    <row r="95" spans="1:38" ht="13.8" customHeight="1" x14ac:dyDescent="0.3">
      <c r="A95" s="317" t="s">
        <v>480</v>
      </c>
      <c r="B95" s="317"/>
      <c r="C95" s="317"/>
      <c r="D95" s="317"/>
      <c r="E95" s="317"/>
      <c r="F95" s="317"/>
      <c r="G95" s="317"/>
      <c r="H95" s="317"/>
      <c r="I95" s="317"/>
      <c r="J95" s="317"/>
      <c r="K95" s="317"/>
      <c r="L95" s="317"/>
      <c r="M95" s="317"/>
      <c r="N95" s="317"/>
      <c r="O95" s="317"/>
      <c r="P95" s="317"/>
      <c r="Q95" s="317"/>
      <c r="R95" s="317"/>
      <c r="S95" s="317"/>
      <c r="T95" s="317"/>
      <c r="U95" s="317"/>
      <c r="V95" s="317"/>
      <c r="W95" s="317"/>
      <c r="X95" s="317"/>
      <c r="Y95" s="317"/>
      <c r="Z95" s="317"/>
      <c r="AA95" s="317"/>
    </row>
    <row r="96" spans="1:38" ht="13.8" customHeight="1" x14ac:dyDescent="0.3">
      <c r="A96" s="317" t="s">
        <v>481</v>
      </c>
      <c r="B96" s="317"/>
      <c r="C96" s="317"/>
      <c r="D96" s="317"/>
      <c r="E96" s="317"/>
      <c r="F96" s="317"/>
      <c r="G96" s="317"/>
      <c r="H96" s="317"/>
      <c r="I96" s="317"/>
      <c r="J96" s="317"/>
      <c r="K96" s="317"/>
      <c r="L96" s="317"/>
      <c r="M96" s="317"/>
      <c r="N96" s="317"/>
      <c r="O96" s="317"/>
      <c r="P96" s="317"/>
      <c r="Q96" s="317"/>
      <c r="R96" s="317"/>
      <c r="S96" s="317"/>
      <c r="T96" s="317"/>
      <c r="U96" s="317"/>
      <c r="V96" s="317"/>
      <c r="W96" s="317"/>
      <c r="X96" s="317"/>
      <c r="Y96" s="317"/>
      <c r="Z96" s="317"/>
      <c r="AA96" s="317"/>
    </row>
    <row r="97" spans="1:27" ht="13.8" customHeight="1" x14ac:dyDescent="0.3">
      <c r="A97" s="167"/>
      <c r="B97" s="167"/>
      <c r="C97" s="167"/>
      <c r="D97" s="167"/>
      <c r="E97" s="167"/>
      <c r="F97" s="167"/>
      <c r="G97" s="168"/>
      <c r="H97" s="168"/>
      <c r="I97" s="168"/>
      <c r="J97" s="168"/>
      <c r="K97" s="168"/>
      <c r="L97" s="168"/>
      <c r="M97" s="168"/>
      <c r="N97" s="168"/>
      <c r="O97" s="168"/>
      <c r="P97" s="168"/>
      <c r="Q97" s="168"/>
      <c r="R97" s="168"/>
      <c r="S97" s="168"/>
      <c r="T97" s="168"/>
      <c r="U97" s="168"/>
      <c r="V97" s="168"/>
      <c r="W97" s="168"/>
      <c r="X97" s="168"/>
      <c r="Y97" s="168"/>
      <c r="Z97" s="168"/>
      <c r="AA97" s="168"/>
    </row>
    <row r="98" spans="1:27" ht="13.8" customHeight="1" x14ac:dyDescent="0.3">
      <c r="A98" s="167"/>
      <c r="B98" s="167"/>
      <c r="C98" s="167"/>
      <c r="D98" s="167"/>
      <c r="E98" s="167"/>
      <c r="F98" s="167"/>
      <c r="G98" s="168"/>
      <c r="H98" s="168"/>
      <c r="I98" s="168"/>
      <c r="J98" s="168"/>
      <c r="K98" s="168"/>
      <c r="L98" s="168"/>
      <c r="M98" s="168"/>
      <c r="N98" s="168"/>
      <c r="O98" s="168"/>
      <c r="P98" s="168"/>
      <c r="Q98" s="168"/>
      <c r="R98" s="168"/>
      <c r="S98" s="168"/>
      <c r="T98" s="168"/>
      <c r="U98" s="168"/>
      <c r="V98" s="168"/>
      <c r="W98" s="168"/>
      <c r="X98" s="168"/>
      <c r="Y98" s="168"/>
      <c r="Z98" s="168"/>
      <c r="AA98" s="168"/>
    </row>
    <row r="99" spans="1:27" ht="13.8" customHeight="1" x14ac:dyDescent="0.3">
      <c r="A99" s="325" t="s">
        <v>482</v>
      </c>
      <c r="B99" s="326"/>
      <c r="C99" s="326"/>
      <c r="D99" s="326"/>
      <c r="E99" s="326"/>
      <c r="F99" s="326"/>
      <c r="G99" s="326"/>
      <c r="H99" s="326"/>
      <c r="I99" s="326"/>
      <c r="J99" s="326"/>
      <c r="K99" s="326"/>
      <c r="L99" s="326"/>
      <c r="M99" s="326"/>
      <c r="N99" s="326"/>
      <c r="O99" s="326"/>
      <c r="P99" s="326"/>
      <c r="Q99" s="326"/>
      <c r="R99" s="326"/>
      <c r="S99" s="326"/>
      <c r="T99" s="326"/>
      <c r="U99" s="326"/>
      <c r="V99" s="326"/>
      <c r="W99" s="326"/>
      <c r="X99" s="326"/>
      <c r="Y99" s="326"/>
      <c r="Z99" s="326"/>
      <c r="AA99" s="326"/>
    </row>
    <row r="100" spans="1:27" ht="13.8" customHeight="1" x14ac:dyDescent="0.3">
      <c r="A100" s="317"/>
      <c r="B100" s="317"/>
      <c r="C100" s="317"/>
      <c r="D100" s="317"/>
      <c r="E100" s="317"/>
      <c r="F100" s="317"/>
      <c r="G100" s="317"/>
      <c r="H100" s="317"/>
      <c r="I100" s="317"/>
      <c r="J100" s="317"/>
      <c r="K100" s="317"/>
      <c r="L100" s="317"/>
      <c r="M100" s="317"/>
      <c r="N100" s="317"/>
      <c r="O100" s="317"/>
      <c r="P100" s="317"/>
      <c r="Q100" s="317"/>
      <c r="R100" s="317"/>
      <c r="S100" s="317"/>
      <c r="T100" s="317"/>
      <c r="U100" s="317"/>
      <c r="V100" s="317"/>
      <c r="W100" s="317"/>
      <c r="X100" s="317"/>
      <c r="Y100" s="317"/>
      <c r="Z100" s="317"/>
      <c r="AA100" s="317"/>
    </row>
    <row r="101" spans="1:27" ht="13.8" customHeight="1" x14ac:dyDescent="0.3">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row>
    <row r="102" spans="1:27" ht="13.8" customHeight="1" x14ac:dyDescent="0.3">
      <c r="A102" s="167"/>
      <c r="B102" s="167"/>
      <c r="C102" s="167"/>
      <c r="D102" s="167"/>
      <c r="E102" s="167"/>
      <c r="F102" s="167"/>
      <c r="G102" s="168"/>
      <c r="H102" s="168"/>
      <c r="I102" s="168"/>
      <c r="J102" s="168"/>
      <c r="K102" s="168"/>
      <c r="L102" s="168"/>
      <c r="M102" s="168"/>
      <c r="N102" s="168"/>
      <c r="O102" s="168"/>
      <c r="P102" s="168"/>
      <c r="Q102" s="168"/>
      <c r="R102" s="168"/>
      <c r="S102" s="168"/>
      <c r="T102" s="168"/>
      <c r="U102" s="168"/>
      <c r="V102" s="168"/>
      <c r="W102" s="168"/>
      <c r="X102" s="168"/>
      <c r="Y102" s="168"/>
      <c r="Z102" s="168"/>
      <c r="AA102" s="168"/>
    </row>
    <row r="103" spans="1:27" ht="13.8" customHeight="1" x14ac:dyDescent="0.3">
      <c r="A103" s="167"/>
      <c r="B103" s="167"/>
      <c r="C103" s="167"/>
      <c r="D103" s="167"/>
      <c r="E103" s="167"/>
      <c r="F103" s="166" t="s">
        <v>483</v>
      </c>
      <c r="G103" s="168"/>
      <c r="H103" s="168"/>
      <c r="I103" s="168"/>
      <c r="J103" s="168"/>
      <c r="K103" s="168"/>
      <c r="L103" s="168"/>
      <c r="M103" s="168"/>
      <c r="N103" s="168"/>
      <c r="O103" s="168"/>
      <c r="P103" s="168"/>
      <c r="Q103" s="168"/>
      <c r="R103" s="168"/>
      <c r="S103" s="168"/>
      <c r="T103" s="167"/>
      <c r="U103" s="168"/>
      <c r="V103" s="167"/>
      <c r="W103" s="169" t="s">
        <v>484</v>
      </c>
      <c r="X103" s="168"/>
      <c r="Y103" s="168"/>
      <c r="Z103" s="168"/>
      <c r="AA103" s="168"/>
    </row>
    <row r="104" spans="1:27" ht="13.8" customHeight="1" x14ac:dyDescent="0.3">
      <c r="A104" s="167"/>
      <c r="B104" s="167"/>
      <c r="C104" s="167"/>
      <c r="D104" s="167"/>
      <c r="E104" s="167"/>
      <c r="F104" s="167"/>
      <c r="G104" s="168"/>
      <c r="H104" s="168"/>
      <c r="I104" s="168"/>
      <c r="J104" s="168"/>
      <c r="K104" s="168"/>
      <c r="L104" s="168"/>
      <c r="M104" s="168"/>
      <c r="N104" s="168"/>
      <c r="O104" s="168"/>
      <c r="P104" s="168"/>
      <c r="Q104" s="168"/>
      <c r="R104" s="168"/>
      <c r="S104" s="168"/>
      <c r="T104" s="168"/>
      <c r="U104" s="168"/>
      <c r="V104" s="168"/>
      <c r="W104" s="168"/>
      <c r="X104" s="168"/>
      <c r="Y104" s="168"/>
      <c r="Z104" s="168"/>
      <c r="AA104" s="168"/>
    </row>
    <row r="105" spans="1:27" ht="13.8" customHeight="1" x14ac:dyDescent="0.3">
      <c r="A105" s="167"/>
      <c r="B105" s="167"/>
      <c r="C105" s="167"/>
      <c r="D105" s="167"/>
      <c r="E105" s="167"/>
      <c r="F105" s="167"/>
      <c r="G105" s="168"/>
      <c r="H105" s="168"/>
      <c r="I105" s="168"/>
      <c r="J105" s="168"/>
      <c r="K105" s="168"/>
      <c r="L105" s="168"/>
      <c r="M105" s="168"/>
      <c r="N105" s="168"/>
      <c r="O105" s="168"/>
      <c r="P105" s="168"/>
      <c r="Q105" s="168"/>
      <c r="R105" s="168"/>
      <c r="S105" s="168"/>
      <c r="T105" s="168"/>
      <c r="U105" s="168"/>
      <c r="V105" s="168"/>
      <c r="W105" s="168"/>
      <c r="X105" s="168"/>
      <c r="Y105" s="168"/>
      <c r="Z105" s="168"/>
      <c r="AA105" s="168"/>
    </row>
    <row r="106" spans="1:27" ht="13.8" customHeight="1" x14ac:dyDescent="0.3">
      <c r="A106" s="167"/>
      <c r="B106" s="167"/>
      <c r="C106" s="167"/>
      <c r="D106" s="167"/>
      <c r="E106" s="167"/>
      <c r="F106" s="167"/>
      <c r="G106" s="168"/>
      <c r="H106" s="168"/>
      <c r="I106" s="168"/>
      <c r="J106" s="168"/>
      <c r="K106" s="168"/>
      <c r="L106" s="168"/>
      <c r="M106" s="168"/>
      <c r="N106" s="168"/>
      <c r="O106" s="168"/>
      <c r="P106" s="168"/>
      <c r="Q106" s="168"/>
      <c r="R106" s="168"/>
      <c r="S106" s="168"/>
      <c r="T106" s="168"/>
      <c r="U106" s="168"/>
      <c r="V106" s="168"/>
      <c r="W106" s="168"/>
      <c r="X106" s="168"/>
      <c r="Y106" s="168"/>
      <c r="Z106" s="168"/>
      <c r="AA106" s="168"/>
    </row>
    <row r="107" spans="1:27" ht="15.75" customHeight="1" x14ac:dyDescent="0.3">
      <c r="A107" s="167"/>
      <c r="B107" s="322" t="s">
        <v>485</v>
      </c>
      <c r="C107" s="322"/>
      <c r="D107" s="322"/>
      <c r="E107" s="322"/>
      <c r="F107" s="322"/>
      <c r="G107" s="322"/>
      <c r="H107" s="322"/>
      <c r="I107" s="322"/>
      <c r="J107" s="322"/>
      <c r="K107" s="168"/>
      <c r="L107" s="168"/>
      <c r="M107" s="168"/>
      <c r="N107" s="168"/>
      <c r="O107" s="168"/>
      <c r="P107" s="168"/>
      <c r="Q107" s="168"/>
      <c r="R107" s="168"/>
      <c r="S107" s="168"/>
      <c r="T107" s="322" t="s">
        <v>482</v>
      </c>
      <c r="U107" s="322"/>
      <c r="V107" s="322"/>
      <c r="W107" s="322"/>
      <c r="X107" s="322"/>
      <c r="Y107" s="322"/>
      <c r="Z107" s="322"/>
      <c r="AA107" s="322"/>
    </row>
    <row r="108" spans="1:27" ht="13.8" customHeight="1" x14ac:dyDescent="0.3">
      <c r="A108" s="167"/>
      <c r="B108" s="321" t="s">
        <v>486</v>
      </c>
      <c r="C108" s="321"/>
      <c r="D108" s="321"/>
      <c r="E108" s="321"/>
      <c r="F108" s="321"/>
      <c r="G108" s="321"/>
      <c r="H108" s="321"/>
      <c r="I108" s="321"/>
      <c r="J108" s="321"/>
      <c r="K108" s="168"/>
      <c r="L108" s="168"/>
      <c r="M108" s="168"/>
      <c r="N108" s="168"/>
      <c r="O108" s="168"/>
      <c r="P108" s="168"/>
      <c r="Q108" s="168"/>
      <c r="R108" s="168"/>
      <c r="S108" s="168"/>
      <c r="T108" s="287" t="s">
        <v>486</v>
      </c>
      <c r="U108" s="287"/>
      <c r="V108" s="287"/>
      <c r="W108" s="287"/>
      <c r="X108" s="287"/>
      <c r="Y108" s="287"/>
      <c r="Z108" s="287"/>
      <c r="AA108" s="287"/>
    </row>
    <row r="109" spans="1:27" x14ac:dyDescent="0.3">
      <c r="A109" s="101"/>
      <c r="B109" s="101"/>
      <c r="C109" s="101"/>
      <c r="D109" s="101"/>
      <c r="E109" s="101"/>
      <c r="F109" s="101"/>
      <c r="G109" s="11"/>
      <c r="H109" s="11"/>
      <c r="I109" s="11"/>
      <c r="J109" s="11"/>
      <c r="K109" s="11"/>
      <c r="L109" s="11"/>
      <c r="M109" s="11"/>
      <c r="N109" s="11"/>
      <c r="O109" s="11"/>
      <c r="P109" s="11"/>
      <c r="Q109" s="11"/>
      <c r="R109" s="11"/>
      <c r="S109" s="11"/>
      <c r="T109" s="11"/>
      <c r="U109" s="11"/>
      <c r="V109" s="11"/>
      <c r="W109" s="11"/>
      <c r="X109" s="11"/>
      <c r="Y109" s="11"/>
      <c r="Z109" s="11"/>
      <c r="AA109" s="11"/>
    </row>
    <row r="110" spans="1:27" x14ac:dyDescent="0.3">
      <c r="A110" s="101"/>
      <c r="B110" s="101"/>
      <c r="C110" s="101"/>
      <c r="D110" s="101"/>
      <c r="E110" s="101"/>
      <c r="F110" s="101"/>
      <c r="G110" s="11"/>
      <c r="H110" s="11"/>
      <c r="I110" s="11"/>
      <c r="J110" s="11"/>
      <c r="K110" s="11"/>
      <c r="L110" s="11"/>
      <c r="M110" s="11"/>
      <c r="N110" s="11"/>
      <c r="O110" s="11"/>
      <c r="P110" s="11"/>
      <c r="Q110" s="11"/>
      <c r="R110" s="11"/>
      <c r="S110" s="11"/>
      <c r="T110" s="11"/>
      <c r="U110" s="11"/>
      <c r="V110" s="11"/>
      <c r="W110" s="11"/>
      <c r="X110" s="11"/>
      <c r="Y110" s="11"/>
      <c r="Z110" s="11"/>
      <c r="AA110" s="11"/>
    </row>
    <row r="111" spans="1:27" x14ac:dyDescent="0.3">
      <c r="A111" s="101"/>
      <c r="B111" s="101"/>
      <c r="C111" s="101"/>
      <c r="D111" s="101"/>
      <c r="E111" s="101"/>
      <c r="F111" s="101"/>
      <c r="G111" s="11"/>
      <c r="H111" s="11"/>
      <c r="I111" s="11"/>
      <c r="J111" s="11"/>
      <c r="K111" s="11"/>
      <c r="L111" s="11"/>
      <c r="M111" s="11"/>
      <c r="N111" s="11"/>
      <c r="O111" s="11"/>
      <c r="P111" s="11"/>
      <c r="Q111" s="11"/>
      <c r="R111" s="11"/>
      <c r="S111" s="11"/>
      <c r="T111" s="11"/>
      <c r="U111" s="11"/>
      <c r="V111" s="11"/>
      <c r="W111" s="11"/>
      <c r="X111" s="11"/>
      <c r="Y111" s="11"/>
      <c r="Z111" s="11"/>
      <c r="AA111" s="11"/>
    </row>
    <row r="112" spans="1:27" x14ac:dyDescent="0.3">
      <c r="A112" s="101"/>
      <c r="B112" s="101"/>
      <c r="C112" s="101"/>
      <c r="D112" s="101"/>
      <c r="E112" s="101"/>
      <c r="F112" s="101"/>
      <c r="G112" s="11"/>
      <c r="H112" s="11"/>
      <c r="I112" s="11"/>
      <c r="J112" s="11"/>
      <c r="K112" s="11"/>
      <c r="L112" s="11"/>
      <c r="M112" s="11"/>
      <c r="N112" s="11"/>
      <c r="O112" s="11"/>
      <c r="P112" s="11"/>
      <c r="Q112" s="11"/>
      <c r="R112" s="11"/>
      <c r="S112" s="11"/>
      <c r="T112" s="11"/>
      <c r="U112" s="11"/>
      <c r="V112" s="11"/>
      <c r="W112" s="11"/>
      <c r="X112" s="11"/>
      <c r="Y112" s="11"/>
      <c r="Z112" s="11"/>
      <c r="AA112" s="11"/>
    </row>
    <row r="113" spans="1:27" x14ac:dyDescent="0.3">
      <c r="A113" s="101"/>
      <c r="B113" s="101"/>
      <c r="C113" s="101"/>
      <c r="D113" s="101"/>
      <c r="E113" s="101"/>
      <c r="F113" s="101"/>
      <c r="G113" s="11"/>
      <c r="H113" s="11"/>
      <c r="I113" s="11"/>
      <c r="J113" s="11"/>
      <c r="K113" s="11"/>
      <c r="L113" s="11"/>
      <c r="M113" s="11"/>
      <c r="N113" s="11"/>
      <c r="O113" s="11"/>
      <c r="P113" s="11"/>
      <c r="Q113" s="11"/>
      <c r="R113" s="11"/>
      <c r="S113" s="11"/>
      <c r="T113" s="11"/>
      <c r="U113" s="11"/>
      <c r="V113" s="11"/>
      <c r="W113" s="11"/>
      <c r="X113" s="11"/>
      <c r="Y113" s="11"/>
      <c r="Z113" s="11"/>
      <c r="AA113" s="11"/>
    </row>
    <row r="114" spans="1:27" x14ac:dyDescent="0.3">
      <c r="A114" s="101"/>
      <c r="B114" s="101"/>
      <c r="C114" s="101"/>
      <c r="D114" s="101"/>
      <c r="E114" s="101"/>
      <c r="F114" s="101"/>
      <c r="G114" s="11"/>
      <c r="H114" s="11"/>
      <c r="I114" s="11"/>
      <c r="J114" s="11"/>
      <c r="K114" s="11"/>
      <c r="L114" s="11"/>
      <c r="M114" s="11"/>
      <c r="N114" s="11"/>
      <c r="O114" s="11"/>
      <c r="P114" s="11"/>
      <c r="Q114" s="11"/>
      <c r="R114" s="11"/>
      <c r="S114" s="11"/>
      <c r="T114" s="11"/>
      <c r="U114" s="11"/>
      <c r="V114" s="11"/>
      <c r="W114" s="11"/>
      <c r="X114" s="11"/>
      <c r="Y114" s="11"/>
      <c r="Z114" s="11"/>
      <c r="AA114" s="11"/>
    </row>
    <row r="115" spans="1:27" x14ac:dyDescent="0.3">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row>
    <row r="116" spans="1:27" x14ac:dyDescent="0.3">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row>
    <row r="117" spans="1:27" x14ac:dyDescent="0.3">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row>
    <row r="118" spans="1:27" x14ac:dyDescent="0.3">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row>
    <row r="119" spans="1:27" x14ac:dyDescent="0.3">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row>
    <row r="120" spans="1:27" x14ac:dyDescent="0.3">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row>
    <row r="121" spans="1:27" x14ac:dyDescent="0.3">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row>
    <row r="122" spans="1:27" x14ac:dyDescent="0.3">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row>
    <row r="123" spans="1:27" x14ac:dyDescent="0.3">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row>
    <row r="124" spans="1:27" x14ac:dyDescent="0.3">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row>
    <row r="125" spans="1:27" x14ac:dyDescent="0.3">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row>
    <row r="126" spans="1:27" x14ac:dyDescent="0.3">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row>
    <row r="127" spans="1:27" x14ac:dyDescent="0.3">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row>
    <row r="128" spans="1:27" x14ac:dyDescent="0.3">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row>
    <row r="129" spans="1:27" x14ac:dyDescent="0.3">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row>
    <row r="130" spans="1:27" x14ac:dyDescent="0.3">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row>
    <row r="131" spans="1:27" x14ac:dyDescent="0.3">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row>
    <row r="132" spans="1:27" x14ac:dyDescent="0.3">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row>
    <row r="133" spans="1:27" x14ac:dyDescent="0.3">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row>
    <row r="134" spans="1:27" x14ac:dyDescent="0.3">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row>
    <row r="135" spans="1:27" x14ac:dyDescent="0.3">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row>
    <row r="136" spans="1:27" x14ac:dyDescent="0.3">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row>
    <row r="137" spans="1:27" x14ac:dyDescent="0.3">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row>
    <row r="138" spans="1:27" x14ac:dyDescent="0.3">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row>
    <row r="139" spans="1:27" x14ac:dyDescent="0.3">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row>
    <row r="140" spans="1:27" x14ac:dyDescent="0.3">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row>
    <row r="141" spans="1:27" x14ac:dyDescent="0.3">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row>
    <row r="142" spans="1:27" x14ac:dyDescent="0.3">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row>
    <row r="143" spans="1:27" x14ac:dyDescent="0.3">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row>
    <row r="144" spans="1:27" x14ac:dyDescent="0.3">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row>
    <row r="145" spans="1:27" x14ac:dyDescent="0.3">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row>
    <row r="146" spans="1:27" x14ac:dyDescent="0.3">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row>
    <row r="147" spans="1:27" x14ac:dyDescent="0.3">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row>
    <row r="148" spans="1:27" x14ac:dyDescent="0.3">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row>
    <row r="149" spans="1:27" x14ac:dyDescent="0.3">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row>
    <row r="150" spans="1:27" x14ac:dyDescent="0.3">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row>
    <row r="151" spans="1:27" x14ac:dyDescent="0.3">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row>
    <row r="152" spans="1:27" x14ac:dyDescent="0.3">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row>
    <row r="153" spans="1:27" x14ac:dyDescent="0.3">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row>
    <row r="154" spans="1:27" x14ac:dyDescent="0.3">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row>
    <row r="155" spans="1:27" x14ac:dyDescent="0.3">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row>
    <row r="156" spans="1:27" x14ac:dyDescent="0.3">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row>
    <row r="157" spans="1:27" x14ac:dyDescent="0.3">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row>
    <row r="158" spans="1:27" x14ac:dyDescent="0.3">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row>
    <row r="159" spans="1:27" x14ac:dyDescent="0.3">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row>
    <row r="160" spans="1:27" x14ac:dyDescent="0.3">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row>
    <row r="161" spans="1:27" x14ac:dyDescent="0.3">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row>
    <row r="162" spans="1:27" x14ac:dyDescent="0.3">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row>
    <row r="163" spans="1:27" x14ac:dyDescent="0.3">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row>
    <row r="164" spans="1:27" x14ac:dyDescent="0.3">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row>
    <row r="165" spans="1:27" x14ac:dyDescent="0.3">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row>
    <row r="166" spans="1:27" x14ac:dyDescent="0.3">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row>
    <row r="167" spans="1:27" x14ac:dyDescent="0.3">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row>
    <row r="168" spans="1:27" x14ac:dyDescent="0.3">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row>
    <row r="169" spans="1:27" x14ac:dyDescent="0.3">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row>
    <row r="170" spans="1:27" x14ac:dyDescent="0.3">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row>
    <row r="171" spans="1:27" x14ac:dyDescent="0.3">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row>
    <row r="172" spans="1:27" x14ac:dyDescent="0.3">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row>
    <row r="173" spans="1:27" x14ac:dyDescent="0.3">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row>
    <row r="174" spans="1:27" x14ac:dyDescent="0.3">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row>
    <row r="175" spans="1:27" x14ac:dyDescent="0.3">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row>
    <row r="176" spans="1:27" x14ac:dyDescent="0.3">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row>
    <row r="177" spans="1:27" x14ac:dyDescent="0.3">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row>
    <row r="178" spans="1:27" x14ac:dyDescent="0.3">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row>
    <row r="179" spans="1:27" x14ac:dyDescent="0.3">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row>
    <row r="180" spans="1:27" x14ac:dyDescent="0.3">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row>
    <row r="181" spans="1:27" x14ac:dyDescent="0.3">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row>
    <row r="182" spans="1:27" x14ac:dyDescent="0.3">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row>
    <row r="183" spans="1:27" x14ac:dyDescent="0.3">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row>
    <row r="184" spans="1:27" x14ac:dyDescent="0.3">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row>
    <row r="185" spans="1:27" x14ac:dyDescent="0.3">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row>
    <row r="186" spans="1:27" x14ac:dyDescent="0.3">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row>
    <row r="187" spans="1:27" x14ac:dyDescent="0.3">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row>
    <row r="188" spans="1:27" x14ac:dyDescent="0.3">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row>
    <row r="189" spans="1:27" x14ac:dyDescent="0.3">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row>
    <row r="190" spans="1:27" x14ac:dyDescent="0.3">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row>
    <row r="191" spans="1:27" x14ac:dyDescent="0.3">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row>
    <row r="192" spans="1:27" x14ac:dyDescent="0.3">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row>
    <row r="193" spans="1:27" x14ac:dyDescent="0.3">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row>
    <row r="194" spans="1:27" x14ac:dyDescent="0.3">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row>
    <row r="195" spans="1:27" x14ac:dyDescent="0.3">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row>
    <row r="196" spans="1:27" x14ac:dyDescent="0.3">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row>
    <row r="197" spans="1:27" x14ac:dyDescent="0.3">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row>
    <row r="198" spans="1:27" x14ac:dyDescent="0.3">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row>
    <row r="199" spans="1:27" x14ac:dyDescent="0.3">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row>
    <row r="200" spans="1:27" x14ac:dyDescent="0.3">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row>
    <row r="201" spans="1:27" x14ac:dyDescent="0.3">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row>
    <row r="202" spans="1:27" x14ac:dyDescent="0.3">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row>
    <row r="203" spans="1:27" x14ac:dyDescent="0.3">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row>
    <row r="204" spans="1:27" x14ac:dyDescent="0.3">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row>
    <row r="205" spans="1:27" x14ac:dyDescent="0.3">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row>
    <row r="206" spans="1:27" x14ac:dyDescent="0.3">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row>
    <row r="207" spans="1:27" x14ac:dyDescent="0.3">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row>
    <row r="208" spans="1:27" x14ac:dyDescent="0.3">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row>
    <row r="209" spans="1:27" x14ac:dyDescent="0.3">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row>
    <row r="210" spans="1:27" x14ac:dyDescent="0.3">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row>
    <row r="211" spans="1:27" x14ac:dyDescent="0.3">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row>
    <row r="212" spans="1:27" x14ac:dyDescent="0.3">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row>
    <row r="213" spans="1:27" x14ac:dyDescent="0.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row>
    <row r="214" spans="1:27" x14ac:dyDescent="0.3">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row>
    <row r="215" spans="1:27" x14ac:dyDescent="0.3">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row>
    <row r="216" spans="1:27" x14ac:dyDescent="0.3">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row>
    <row r="217" spans="1:27" x14ac:dyDescent="0.3">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row>
    <row r="218" spans="1:27" x14ac:dyDescent="0.3">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row>
    <row r="219" spans="1:27" x14ac:dyDescent="0.3">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row>
    <row r="220" spans="1:27" x14ac:dyDescent="0.3">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row>
    <row r="221" spans="1:27" x14ac:dyDescent="0.3">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row>
    <row r="222" spans="1:27" x14ac:dyDescent="0.3">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row>
    <row r="223" spans="1:27" x14ac:dyDescent="0.3">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row>
    <row r="224" spans="1:27" x14ac:dyDescent="0.3">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row>
    <row r="225" spans="1:27" x14ac:dyDescent="0.3">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row>
    <row r="226" spans="1:27" x14ac:dyDescent="0.3">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row>
    <row r="227" spans="1:27" x14ac:dyDescent="0.3">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row>
    <row r="228" spans="1:27" x14ac:dyDescent="0.3">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row>
    <row r="229" spans="1:27" x14ac:dyDescent="0.3">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row>
    <row r="230" spans="1:27" x14ac:dyDescent="0.3">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row>
    <row r="231" spans="1:27" x14ac:dyDescent="0.3">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row>
    <row r="232" spans="1:27" x14ac:dyDescent="0.3">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row>
    <row r="233" spans="1:27" x14ac:dyDescent="0.3">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row>
    <row r="234" spans="1:27" x14ac:dyDescent="0.3">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row>
    <row r="235" spans="1:27" x14ac:dyDescent="0.3">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row>
    <row r="236" spans="1:27" x14ac:dyDescent="0.3">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row>
    <row r="237" spans="1:27" x14ac:dyDescent="0.3">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row>
    <row r="238" spans="1:27" x14ac:dyDescent="0.3">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row>
    <row r="239" spans="1:27" x14ac:dyDescent="0.3">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row>
    <row r="240" spans="1:27" x14ac:dyDescent="0.3">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row>
    <row r="241" spans="1:27" x14ac:dyDescent="0.3">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row>
    <row r="242" spans="1:27" x14ac:dyDescent="0.3">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row>
    <row r="243" spans="1:27" x14ac:dyDescent="0.3">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row>
    <row r="244" spans="1:27" x14ac:dyDescent="0.3">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row>
    <row r="245" spans="1:27" x14ac:dyDescent="0.3">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row>
    <row r="246" spans="1:27" x14ac:dyDescent="0.3">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row>
    <row r="247" spans="1:27" x14ac:dyDescent="0.3">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row>
    <row r="248" spans="1:27" x14ac:dyDescent="0.3">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row>
    <row r="249" spans="1:27" x14ac:dyDescent="0.3">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row>
    <row r="250" spans="1:27" x14ac:dyDescent="0.3">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row>
    <row r="251" spans="1:27" x14ac:dyDescent="0.3">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row>
    <row r="252" spans="1:27" x14ac:dyDescent="0.3">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row>
    <row r="253" spans="1:27" x14ac:dyDescent="0.3">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row>
    <row r="254" spans="1:27" x14ac:dyDescent="0.3">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row>
    <row r="255" spans="1:27" x14ac:dyDescent="0.3">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row>
    <row r="256" spans="1:27" x14ac:dyDescent="0.3">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row>
    <row r="257" spans="1:27" x14ac:dyDescent="0.3">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row>
    <row r="258" spans="1:27" x14ac:dyDescent="0.3">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row>
    <row r="259" spans="1:27" x14ac:dyDescent="0.3">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row>
    <row r="260" spans="1:27" x14ac:dyDescent="0.3">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row>
    <row r="261" spans="1:27" x14ac:dyDescent="0.3">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row>
    <row r="262" spans="1:27" x14ac:dyDescent="0.3">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row>
    <row r="263" spans="1:27" x14ac:dyDescent="0.3">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row>
    <row r="264" spans="1:27" x14ac:dyDescent="0.3">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row>
    <row r="265" spans="1:27" x14ac:dyDescent="0.3">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row>
    <row r="266" spans="1:27" x14ac:dyDescent="0.3">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row>
    <row r="267" spans="1:27" x14ac:dyDescent="0.3">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row>
    <row r="268" spans="1:27" x14ac:dyDescent="0.3">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row>
    <row r="269" spans="1:27" x14ac:dyDescent="0.3">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row>
    <row r="270" spans="1:27" x14ac:dyDescent="0.3">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row>
    <row r="271" spans="1:27" x14ac:dyDescent="0.3">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row>
    <row r="272" spans="1:27" x14ac:dyDescent="0.3">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row>
    <row r="273" spans="1:27" x14ac:dyDescent="0.3">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row>
    <row r="274" spans="1:27" x14ac:dyDescent="0.3">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row>
    <row r="275" spans="1:27" x14ac:dyDescent="0.3">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row>
    <row r="276" spans="1:27" x14ac:dyDescent="0.3">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row>
    <row r="277" spans="1:27" x14ac:dyDescent="0.3">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row>
    <row r="278" spans="1:27" x14ac:dyDescent="0.3">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row>
    <row r="279" spans="1:27" x14ac:dyDescent="0.3">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row>
    <row r="280" spans="1:27" x14ac:dyDescent="0.3">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row>
    <row r="281" spans="1:27" x14ac:dyDescent="0.3">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row>
    <row r="282" spans="1:27" x14ac:dyDescent="0.3">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row>
    <row r="283" spans="1:27" x14ac:dyDescent="0.3">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row>
    <row r="284" spans="1:27" x14ac:dyDescent="0.3">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row>
    <row r="285" spans="1:27" x14ac:dyDescent="0.3">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row>
    <row r="286" spans="1:27" x14ac:dyDescent="0.3">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row>
    <row r="287" spans="1:27" x14ac:dyDescent="0.3">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row>
    <row r="288" spans="1:27" x14ac:dyDescent="0.3">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row>
    <row r="289" spans="1:27" x14ac:dyDescent="0.3">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row>
    <row r="290" spans="1:27" x14ac:dyDescent="0.3">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row>
    <row r="291" spans="1:27" x14ac:dyDescent="0.3">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row>
    <row r="292" spans="1:27" x14ac:dyDescent="0.3">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row>
    <row r="293" spans="1:27" x14ac:dyDescent="0.3">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row>
    <row r="294" spans="1:27" x14ac:dyDescent="0.3">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row>
    <row r="295" spans="1:27" x14ac:dyDescent="0.3">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row>
    <row r="296" spans="1:27" x14ac:dyDescent="0.3">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row>
    <row r="297" spans="1:27" x14ac:dyDescent="0.3">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row>
    <row r="298" spans="1:27" x14ac:dyDescent="0.3">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row>
    <row r="299" spans="1:27" x14ac:dyDescent="0.3">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row>
    <row r="300" spans="1:27" x14ac:dyDescent="0.3">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row>
    <row r="301" spans="1:27" x14ac:dyDescent="0.3">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row>
    <row r="302" spans="1:27" x14ac:dyDescent="0.3">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row>
    <row r="303" spans="1:27" x14ac:dyDescent="0.3">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row>
    <row r="304" spans="1:27" x14ac:dyDescent="0.3">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row>
    <row r="305" spans="1:27" x14ac:dyDescent="0.3">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row>
    <row r="306" spans="1:27" x14ac:dyDescent="0.3">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row>
    <row r="307" spans="1:27" x14ac:dyDescent="0.3">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row>
    <row r="308" spans="1:27" x14ac:dyDescent="0.3">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row>
    <row r="309" spans="1:27" x14ac:dyDescent="0.3">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row>
    <row r="310" spans="1:27" x14ac:dyDescent="0.3">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row>
    <row r="311" spans="1:27" x14ac:dyDescent="0.3">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row>
    <row r="312" spans="1:27" x14ac:dyDescent="0.3">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row>
    <row r="313" spans="1:27" x14ac:dyDescent="0.3">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row>
    <row r="314" spans="1:27" x14ac:dyDescent="0.3">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row>
    <row r="315" spans="1:27" x14ac:dyDescent="0.3">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row>
    <row r="316" spans="1:27" x14ac:dyDescent="0.3">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row>
    <row r="317" spans="1:27" x14ac:dyDescent="0.3">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row>
    <row r="318" spans="1:27" x14ac:dyDescent="0.3">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row>
    <row r="319" spans="1:27" x14ac:dyDescent="0.3">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row>
    <row r="320" spans="1:27" x14ac:dyDescent="0.3">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row>
    <row r="321" spans="1:27" x14ac:dyDescent="0.3">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row>
    <row r="322" spans="1:27" x14ac:dyDescent="0.3">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row>
    <row r="323" spans="1:27" x14ac:dyDescent="0.3">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row>
    <row r="324" spans="1:27" x14ac:dyDescent="0.3">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row>
    <row r="325" spans="1:27" x14ac:dyDescent="0.3">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row>
    <row r="326" spans="1:27" x14ac:dyDescent="0.3">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row>
    <row r="327" spans="1:27" x14ac:dyDescent="0.3">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row>
    <row r="328" spans="1:27" x14ac:dyDescent="0.3">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row>
    <row r="329" spans="1:27" x14ac:dyDescent="0.3">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row>
    <row r="330" spans="1:27" x14ac:dyDescent="0.3">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row>
    <row r="331" spans="1:27" x14ac:dyDescent="0.3">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row>
    <row r="332" spans="1:27" x14ac:dyDescent="0.3">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row>
    <row r="333" spans="1:27" x14ac:dyDescent="0.3">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row>
    <row r="334" spans="1:27" x14ac:dyDescent="0.3">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row>
    <row r="335" spans="1:27" x14ac:dyDescent="0.3">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row>
    <row r="336" spans="1:27" x14ac:dyDescent="0.3">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row>
    <row r="337" spans="1:27" x14ac:dyDescent="0.3">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row>
    <row r="338" spans="1:27" x14ac:dyDescent="0.3">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row>
    <row r="339" spans="1:27" x14ac:dyDescent="0.3">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row>
    <row r="340" spans="1:27" x14ac:dyDescent="0.3">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row>
    <row r="341" spans="1:27" x14ac:dyDescent="0.3">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row>
    <row r="342" spans="1:27" x14ac:dyDescent="0.3">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row>
    <row r="343" spans="1:27" x14ac:dyDescent="0.3">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row>
    <row r="344" spans="1:27" x14ac:dyDescent="0.3">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row>
    <row r="345" spans="1:27" x14ac:dyDescent="0.3">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row>
    <row r="346" spans="1:27" x14ac:dyDescent="0.3">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row>
    <row r="347" spans="1:27" x14ac:dyDescent="0.3">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row>
    <row r="348" spans="1:27" x14ac:dyDescent="0.3">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row>
    <row r="349" spans="1:27" x14ac:dyDescent="0.3">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row>
    <row r="350" spans="1:27" x14ac:dyDescent="0.3">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row>
    <row r="351" spans="1:27" x14ac:dyDescent="0.3">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row>
    <row r="352" spans="1:27" x14ac:dyDescent="0.3">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row>
    <row r="353" spans="1:27" x14ac:dyDescent="0.3">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row>
    <row r="354" spans="1:27" x14ac:dyDescent="0.3">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row>
    <row r="355" spans="1:27" x14ac:dyDescent="0.3">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row>
    <row r="356" spans="1:27" x14ac:dyDescent="0.3">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row>
    <row r="357" spans="1:27" x14ac:dyDescent="0.3">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row>
    <row r="358" spans="1:27" x14ac:dyDescent="0.3">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row>
    <row r="359" spans="1:27" x14ac:dyDescent="0.3">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row>
    <row r="360" spans="1:27" x14ac:dyDescent="0.3">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row>
  </sheetData>
  <sheetProtection password="CC7A" sheet="1" formatColumns="0" formatRows="0" insertHyperlinks="0" selectLockedCells="1" autoFilter="0" pivotTables="0" selectUnlockedCells="1"/>
  <mergeCells count="117">
    <mergeCell ref="F59:AA59"/>
    <mergeCell ref="Y60:Z60"/>
    <mergeCell ref="F61:AA61"/>
    <mergeCell ref="Y62:Z62"/>
    <mergeCell ref="F63:AA63"/>
    <mergeCell ref="M82:P82"/>
    <mergeCell ref="A80:H80"/>
    <mergeCell ref="Q85:T85"/>
    <mergeCell ref="D27:AA27"/>
    <mergeCell ref="D28:AA28"/>
    <mergeCell ref="D29:AA29"/>
    <mergeCell ref="D30:AA30"/>
    <mergeCell ref="D31:AA31"/>
    <mergeCell ref="B108:J108"/>
    <mergeCell ref="T108:AA108"/>
    <mergeCell ref="D23:AA23"/>
    <mergeCell ref="D24:AA24"/>
    <mergeCell ref="C41:AA41"/>
    <mergeCell ref="C42:AA42"/>
    <mergeCell ref="J80:AA80"/>
    <mergeCell ref="A77:H77"/>
    <mergeCell ref="B107:J107"/>
    <mergeCell ref="T107:AA107"/>
    <mergeCell ref="Y52:Z52"/>
    <mergeCell ref="Y56:Z56"/>
    <mergeCell ref="A92:A93"/>
    <mergeCell ref="A95:AA95"/>
    <mergeCell ref="A96:AA96"/>
    <mergeCell ref="A99:AA99"/>
    <mergeCell ref="D32:AA32"/>
    <mergeCell ref="D33:AA33"/>
    <mergeCell ref="F48:AA48"/>
    <mergeCell ref="F86:L86"/>
    <mergeCell ref="M86:P86"/>
    <mergeCell ref="Q86:T86"/>
    <mergeCell ref="U86:Y86"/>
    <mergeCell ref="Y58:Z58"/>
    <mergeCell ref="A100:AA100"/>
    <mergeCell ref="Q82:T82"/>
    <mergeCell ref="F83:L83"/>
    <mergeCell ref="F84:L84"/>
    <mergeCell ref="F85:L85"/>
    <mergeCell ref="F89:L89"/>
    <mergeCell ref="Q89:T89"/>
    <mergeCell ref="Q90:T90"/>
    <mergeCell ref="Q83:T83"/>
    <mergeCell ref="Q84:T84"/>
    <mergeCell ref="Q87:T87"/>
    <mergeCell ref="M83:P83"/>
    <mergeCell ref="M84:P84"/>
    <mergeCell ref="M85:P85"/>
    <mergeCell ref="M89:P89"/>
    <mergeCell ref="C38:AA38"/>
    <mergeCell ref="C39:AA39"/>
    <mergeCell ref="Y47:Z47"/>
    <mergeCell ref="F49:AA49"/>
    <mergeCell ref="F46:AA46"/>
    <mergeCell ref="A5:AA5"/>
    <mergeCell ref="A7:AA7"/>
    <mergeCell ref="B16:AA16"/>
    <mergeCell ref="D19:AA19"/>
    <mergeCell ref="D20:AA20"/>
    <mergeCell ref="A9:F9"/>
    <mergeCell ref="H9:AA9"/>
    <mergeCell ref="H11:AA11"/>
    <mergeCell ref="A10:F10"/>
    <mergeCell ref="A11:F11"/>
    <mergeCell ref="A12:F12"/>
    <mergeCell ref="H12:AA12"/>
    <mergeCell ref="U89:Y89"/>
    <mergeCell ref="U87:Y87"/>
    <mergeCell ref="M88:P88"/>
    <mergeCell ref="A74:AA74"/>
    <mergeCell ref="J76:AA76"/>
    <mergeCell ref="J78:AA78"/>
    <mergeCell ref="U82:AA82"/>
    <mergeCell ref="J79:AA79"/>
    <mergeCell ref="A82:L82"/>
    <mergeCell ref="F87:L87"/>
    <mergeCell ref="F88:L88"/>
    <mergeCell ref="U88:Y88"/>
    <mergeCell ref="Q88:T88"/>
    <mergeCell ref="A13:F13"/>
    <mergeCell ref="F57:AA57"/>
    <mergeCell ref="Y50:Z50"/>
    <mergeCell ref="H13:AA13"/>
    <mergeCell ref="F53:AA53"/>
    <mergeCell ref="Y54:Z54"/>
    <mergeCell ref="F55:AA55"/>
    <mergeCell ref="U85:Y85"/>
    <mergeCell ref="A76:H76"/>
    <mergeCell ref="M87:P87"/>
    <mergeCell ref="U83:Y83"/>
    <mergeCell ref="U84:Y84"/>
    <mergeCell ref="D21:AA21"/>
    <mergeCell ref="D22:AA22"/>
    <mergeCell ref="F51:AA51"/>
    <mergeCell ref="C40:AA40"/>
    <mergeCell ref="Y45:Z45"/>
    <mergeCell ref="D25:AA25"/>
    <mergeCell ref="C36:AA36"/>
    <mergeCell ref="C37:AA37"/>
    <mergeCell ref="V93:Z93"/>
    <mergeCell ref="U92:AA92"/>
    <mergeCell ref="U90:Y90"/>
    <mergeCell ref="U91:Y91"/>
    <mergeCell ref="F90:L90"/>
    <mergeCell ref="F91:L91"/>
    <mergeCell ref="M91:P91"/>
    <mergeCell ref="Q91:T91"/>
    <mergeCell ref="M90:P90"/>
    <mergeCell ref="B93:L93"/>
    <mergeCell ref="M92:P92"/>
    <mergeCell ref="M93:P93"/>
    <mergeCell ref="Q92:T92"/>
    <mergeCell ref="Q93:T93"/>
    <mergeCell ref="B92:L92"/>
  </mergeCells>
  <pageMargins left="0.70866141732282995" right="0.70866141732282995" top="0.35433070866142002" bottom="0.35433070866142002" header="0.31496062992126" footer="0.31496062992126"/>
  <pageSetup paperSize="10000" scale="98" fitToHeight="0" orientation="portrait" r:id="rId1"/>
  <rowBreaks count="2" manualBreakCount="2">
    <brk id="39" man="1"/>
    <brk id="7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Z136"/>
  <sheetViews>
    <sheetView view="pageBreakPreview" topLeftCell="A30" zoomScale="120" zoomScaleNormal="120" workbookViewId="0">
      <selection activeCell="A18" sqref="A18"/>
    </sheetView>
  </sheetViews>
  <sheetFormatPr defaultColWidth="6.109375" defaultRowHeight="14.4" x14ac:dyDescent="0.3"/>
  <cols>
    <col min="1" max="1" width="4.88671875" style="6" customWidth="1"/>
    <col min="2" max="4" width="3.6640625" style="7" customWidth="1"/>
    <col min="5" max="5" width="4.44140625" style="7" customWidth="1"/>
    <col min="6" max="6" width="4.109375" style="7" customWidth="1"/>
    <col min="7" max="7" width="3.6640625" style="7" customWidth="1"/>
    <col min="8" max="8" width="4.44140625" style="7" customWidth="1"/>
    <col min="9" max="18" width="3.6640625" style="7" customWidth="1"/>
    <col min="19" max="19" width="4.44140625" style="7" customWidth="1"/>
    <col min="20" max="22" width="3.6640625" style="7" customWidth="1"/>
    <col min="23" max="23" width="4.33203125" style="7" customWidth="1"/>
    <col min="24" max="24" width="4" style="5" customWidth="1"/>
    <col min="25" max="25" width="6.109375" style="5"/>
  </cols>
  <sheetData>
    <row r="1" spans="1:23" x14ac:dyDescent="0.3">
      <c r="A1" s="78"/>
      <c r="B1" s="79"/>
      <c r="C1" s="79"/>
      <c r="D1" s="79"/>
      <c r="E1" s="79"/>
      <c r="F1" s="79"/>
      <c r="G1" s="79"/>
      <c r="H1" s="79"/>
      <c r="I1" s="79"/>
      <c r="J1" s="79"/>
      <c r="K1" s="79"/>
      <c r="L1" s="79"/>
      <c r="M1" s="79"/>
      <c r="N1" s="79"/>
      <c r="O1" s="79"/>
      <c r="P1" s="79"/>
      <c r="Q1" s="79"/>
      <c r="R1" s="79"/>
      <c r="S1" s="79"/>
      <c r="T1" s="79"/>
      <c r="U1" s="79"/>
      <c r="V1" s="79"/>
      <c r="W1" s="79"/>
    </row>
    <row r="2" spans="1:23" x14ac:dyDescent="0.3">
      <c r="A2" s="78"/>
      <c r="B2" s="79"/>
      <c r="C2" s="79"/>
      <c r="D2" s="79"/>
      <c r="E2" s="79"/>
      <c r="F2" s="79"/>
      <c r="G2" s="79"/>
      <c r="H2" s="79"/>
      <c r="I2" s="79"/>
      <c r="J2" s="79"/>
      <c r="K2" s="79"/>
      <c r="L2" s="79"/>
      <c r="M2" s="79"/>
      <c r="N2" s="79"/>
      <c r="O2" s="79"/>
      <c r="P2" s="79"/>
      <c r="Q2" s="79"/>
      <c r="R2" s="79"/>
      <c r="S2" s="79"/>
      <c r="T2" s="79"/>
      <c r="U2" s="79"/>
      <c r="V2" s="79"/>
      <c r="W2" s="79"/>
    </row>
    <row r="3" spans="1:23" x14ac:dyDescent="0.3">
      <c r="A3" s="78"/>
      <c r="B3" s="79"/>
      <c r="C3" s="79"/>
      <c r="D3" s="79"/>
      <c r="E3" s="79"/>
      <c r="F3" s="79"/>
      <c r="G3" s="79"/>
      <c r="H3" s="79"/>
      <c r="I3" s="79"/>
      <c r="J3" s="79"/>
      <c r="K3" s="79"/>
      <c r="L3" s="79"/>
      <c r="M3" s="79"/>
      <c r="N3" s="79"/>
      <c r="O3" s="79"/>
      <c r="P3" s="79"/>
      <c r="Q3" s="79"/>
      <c r="R3" s="79"/>
      <c r="S3" s="79"/>
      <c r="T3" s="79"/>
      <c r="U3" s="79"/>
      <c r="V3" s="79"/>
      <c r="W3" s="79"/>
    </row>
    <row r="4" spans="1:23" x14ac:dyDescent="0.3">
      <c r="A4" s="78"/>
      <c r="B4" s="79"/>
      <c r="C4" s="79"/>
      <c r="D4" s="79"/>
      <c r="E4" s="79"/>
      <c r="F4" s="79"/>
      <c r="G4" s="79"/>
      <c r="H4" s="79"/>
      <c r="I4" s="79"/>
      <c r="J4" s="79"/>
      <c r="K4" s="79"/>
      <c r="L4" s="79"/>
      <c r="M4" s="79"/>
      <c r="N4" s="79"/>
      <c r="O4" s="79"/>
      <c r="P4" s="79"/>
      <c r="Q4" s="79"/>
      <c r="R4" s="79"/>
      <c r="S4" s="79"/>
      <c r="T4" s="79"/>
      <c r="U4" s="79"/>
      <c r="V4" s="79"/>
      <c r="W4" s="79"/>
    </row>
    <row r="5" spans="1:23" ht="14.4" customHeight="1" x14ac:dyDescent="0.3">
      <c r="A5" s="338" t="s">
        <v>116</v>
      </c>
      <c r="B5" s="338"/>
      <c r="C5" s="338"/>
      <c r="D5" s="338"/>
      <c r="E5" s="338"/>
      <c r="F5" s="338"/>
      <c r="G5" s="338"/>
      <c r="H5" s="338"/>
      <c r="I5" s="338"/>
      <c r="J5" s="338"/>
      <c r="K5" s="338"/>
      <c r="L5" s="338"/>
      <c r="M5" s="338"/>
      <c r="N5" s="338"/>
      <c r="O5" s="338"/>
      <c r="P5" s="338"/>
      <c r="Q5" s="338"/>
      <c r="R5" s="338"/>
      <c r="S5" s="338"/>
      <c r="T5" s="338"/>
      <c r="U5" s="338"/>
      <c r="V5" s="338"/>
      <c r="W5" s="338"/>
    </row>
    <row r="6" spans="1:23" ht="15" customHeight="1" x14ac:dyDescent="0.3">
      <c r="A6" s="96"/>
      <c r="B6" s="96"/>
      <c r="C6" s="96"/>
      <c r="D6" s="96"/>
      <c r="E6" s="96"/>
      <c r="F6" s="113"/>
      <c r="G6" s="113"/>
      <c r="H6" s="113"/>
      <c r="I6" s="113"/>
      <c r="J6" s="113"/>
      <c r="K6" s="113"/>
      <c r="L6" s="113"/>
      <c r="M6" s="113"/>
      <c r="N6" s="113"/>
      <c r="O6" s="113"/>
      <c r="P6" s="113"/>
      <c r="Q6" s="113"/>
      <c r="R6" s="113"/>
      <c r="S6" s="113"/>
      <c r="T6" s="113"/>
      <c r="U6" s="113"/>
      <c r="V6" s="113"/>
      <c r="W6" s="113"/>
    </row>
    <row r="7" spans="1:23" x14ac:dyDescent="0.3">
      <c r="A7" s="361" t="s">
        <v>487</v>
      </c>
      <c r="B7" s="361"/>
      <c r="C7" s="361"/>
      <c r="D7" s="361"/>
      <c r="E7" s="361"/>
      <c r="F7" s="361"/>
      <c r="G7" s="361"/>
      <c r="H7" s="361"/>
      <c r="I7" s="361"/>
      <c r="J7" s="361"/>
      <c r="K7" s="361"/>
      <c r="L7" s="361"/>
      <c r="M7" s="361"/>
      <c r="N7" s="361"/>
      <c r="O7" s="361"/>
      <c r="P7" s="361"/>
      <c r="Q7" s="361"/>
      <c r="R7" s="361"/>
      <c r="S7" s="361"/>
      <c r="T7" s="361"/>
      <c r="U7" s="361"/>
      <c r="V7" s="361"/>
      <c r="W7" s="361"/>
    </row>
    <row r="8" spans="1:23" x14ac:dyDescent="0.3">
      <c r="A8" s="78"/>
      <c r="B8" s="79"/>
      <c r="C8" s="79"/>
      <c r="D8" s="79"/>
      <c r="E8" s="79"/>
      <c r="F8" s="79"/>
      <c r="G8" s="79"/>
      <c r="H8" s="79"/>
      <c r="I8" s="79"/>
      <c r="J8" s="79"/>
      <c r="K8" s="79"/>
      <c r="L8" s="79"/>
      <c r="M8" s="79"/>
      <c r="N8" s="79"/>
      <c r="O8" s="79"/>
      <c r="P8" s="79"/>
      <c r="Q8" s="79"/>
      <c r="R8" s="79"/>
      <c r="S8" s="79"/>
      <c r="T8" s="79"/>
      <c r="U8" s="79"/>
      <c r="V8" s="79"/>
      <c r="W8" s="79"/>
    </row>
    <row r="9" spans="1:23" ht="25.95" customHeight="1" x14ac:dyDescent="0.3">
      <c r="A9" s="114" t="s">
        <v>118</v>
      </c>
      <c r="B9" s="115" t="s">
        <v>4</v>
      </c>
      <c r="C9" s="116"/>
      <c r="D9" s="116"/>
      <c r="E9" s="116"/>
      <c r="F9" s="117"/>
      <c r="G9" s="118" t="s">
        <v>2</v>
      </c>
      <c r="H9" s="362" t="str">
        <f>'URAIAN JABATAN'!G9</f>
        <v>Pengadministrasi Perkantoran</v>
      </c>
      <c r="I9" s="362"/>
      <c r="J9" s="362"/>
      <c r="K9" s="362"/>
      <c r="L9" s="362"/>
      <c r="M9" s="362"/>
      <c r="N9" s="362"/>
      <c r="O9" s="362"/>
      <c r="P9" s="362"/>
      <c r="Q9" s="362"/>
      <c r="R9" s="362"/>
      <c r="S9" s="362"/>
      <c r="T9" s="362"/>
      <c r="U9" s="362"/>
      <c r="V9" s="362"/>
      <c r="W9" s="362"/>
    </row>
    <row r="10" spans="1:23" x14ac:dyDescent="0.3">
      <c r="A10" s="114" t="s">
        <v>120</v>
      </c>
      <c r="B10" s="115" t="s">
        <v>1</v>
      </c>
      <c r="C10" s="116"/>
      <c r="D10" s="116"/>
      <c r="E10" s="116"/>
      <c r="F10" s="117"/>
      <c r="G10" s="118" t="s">
        <v>2</v>
      </c>
      <c r="H10" s="119" t="str">
        <f>'URAIAN JABATAN'!G10</f>
        <v>23.1.1.0.8</v>
      </c>
      <c r="I10" s="119"/>
      <c r="J10" s="119"/>
      <c r="K10" s="119"/>
      <c r="L10" s="119"/>
      <c r="M10" s="119"/>
      <c r="N10" s="119"/>
      <c r="O10" s="119"/>
      <c r="P10" s="119"/>
      <c r="Q10" s="119"/>
      <c r="R10" s="119"/>
      <c r="S10" s="119"/>
      <c r="T10" s="119"/>
      <c r="U10" s="119"/>
      <c r="V10" s="119"/>
      <c r="W10" s="119"/>
    </row>
    <row r="11" spans="1:23" x14ac:dyDescent="0.3">
      <c r="A11" s="114" t="s">
        <v>122</v>
      </c>
      <c r="B11" s="115" t="s">
        <v>281</v>
      </c>
      <c r="C11" s="116"/>
      <c r="D11" s="116"/>
      <c r="E11" s="116"/>
      <c r="F11" s="117"/>
      <c r="G11" s="118" t="s">
        <v>2</v>
      </c>
      <c r="H11" s="120"/>
      <c r="I11" s="120"/>
      <c r="J11" s="120"/>
      <c r="K11" s="120"/>
      <c r="L11" s="120"/>
      <c r="M11" s="120"/>
      <c r="N11" s="120"/>
      <c r="O11" s="120"/>
      <c r="P11" s="120"/>
      <c r="Q11" s="120"/>
      <c r="R11" s="120"/>
      <c r="S11" s="120"/>
      <c r="T11" s="120"/>
      <c r="U11" s="120"/>
      <c r="V11" s="120"/>
      <c r="W11" s="120"/>
    </row>
    <row r="12" spans="1:23" ht="22.95" customHeight="1" x14ac:dyDescent="0.3">
      <c r="A12" s="118"/>
      <c r="B12" s="116" t="s">
        <v>133</v>
      </c>
      <c r="C12" s="116" t="s">
        <v>488</v>
      </c>
      <c r="D12" s="116"/>
      <c r="E12" s="116"/>
      <c r="F12" s="121"/>
      <c r="G12" s="118" t="s">
        <v>2</v>
      </c>
      <c r="H12" s="329" t="s">
        <v>7</v>
      </c>
      <c r="I12" s="329"/>
      <c r="J12" s="329"/>
      <c r="K12" s="329"/>
      <c r="L12" s="329"/>
      <c r="M12" s="329"/>
      <c r="N12" s="329"/>
      <c r="O12" s="329"/>
      <c r="P12" s="329"/>
      <c r="Q12" s="329"/>
      <c r="R12" s="329"/>
      <c r="S12" s="329"/>
      <c r="T12" s="329"/>
      <c r="U12" s="329"/>
      <c r="V12" s="329"/>
      <c r="W12" s="329"/>
    </row>
    <row r="13" spans="1:23" ht="22.95" customHeight="1" x14ac:dyDescent="0.3">
      <c r="A13" s="118"/>
      <c r="B13" s="116" t="s">
        <v>134</v>
      </c>
      <c r="C13" s="116" t="s">
        <v>489</v>
      </c>
      <c r="D13" s="116"/>
      <c r="E13" s="116"/>
      <c r="F13" s="121"/>
      <c r="G13" s="118" t="s">
        <v>2</v>
      </c>
      <c r="H13" s="329" t="s">
        <v>7</v>
      </c>
      <c r="I13" s="329"/>
      <c r="J13" s="329"/>
      <c r="K13" s="329"/>
      <c r="L13" s="329"/>
      <c r="M13" s="329"/>
      <c r="N13" s="329"/>
      <c r="O13" s="329"/>
      <c r="P13" s="329"/>
      <c r="Q13" s="329"/>
      <c r="R13" s="329"/>
      <c r="S13" s="329"/>
      <c r="T13" s="329"/>
      <c r="U13" s="329"/>
      <c r="V13" s="329"/>
      <c r="W13" s="329"/>
    </row>
    <row r="14" spans="1:23" ht="22.95" customHeight="1" x14ac:dyDescent="0.3">
      <c r="A14" s="118"/>
      <c r="B14" s="116" t="s">
        <v>135</v>
      </c>
      <c r="C14" s="116" t="s">
        <v>490</v>
      </c>
      <c r="D14" s="116"/>
      <c r="E14" s="116"/>
      <c r="F14" s="121"/>
      <c r="G14" s="118" t="s">
        <v>2</v>
      </c>
      <c r="H14" s="329" t="str">
        <f>'URAIAN JABATAN'!G12</f>
        <v>Dinas Penanaman Modal dan Pelayanan Terpadu Satu Pintu</v>
      </c>
      <c r="I14" s="329"/>
      <c r="J14" s="329"/>
      <c r="K14" s="329"/>
      <c r="L14" s="329"/>
      <c r="M14" s="329"/>
      <c r="N14" s="329"/>
      <c r="O14" s="329"/>
      <c r="P14" s="329"/>
      <c r="Q14" s="329"/>
      <c r="R14" s="329"/>
      <c r="S14" s="329"/>
      <c r="T14" s="329"/>
      <c r="U14" s="329"/>
      <c r="V14" s="329"/>
      <c r="W14" s="329"/>
    </row>
    <row r="15" spans="1:23" ht="22.95" customHeight="1" x14ac:dyDescent="0.3">
      <c r="A15" s="118"/>
      <c r="B15" s="116" t="s">
        <v>136</v>
      </c>
      <c r="C15" s="116" t="s">
        <v>491</v>
      </c>
      <c r="D15" s="116"/>
      <c r="E15" s="116"/>
      <c r="F15" s="121"/>
      <c r="G15" s="118" t="s">
        <v>2</v>
      </c>
      <c r="H15" s="363" t="str">
        <f>'URAIAN JABATAN'!G13</f>
        <v>Sekretariat Dinas Penanaman Modal dan Pelayanan Terpadu Satu Pintu</v>
      </c>
      <c r="I15" s="363"/>
      <c r="J15" s="363"/>
      <c r="K15" s="363"/>
      <c r="L15" s="363"/>
      <c r="M15" s="363"/>
      <c r="N15" s="363"/>
      <c r="O15" s="363"/>
      <c r="P15" s="363"/>
      <c r="Q15" s="363"/>
      <c r="R15" s="363"/>
      <c r="S15" s="363"/>
      <c r="T15" s="363"/>
      <c r="U15" s="363"/>
      <c r="V15" s="363"/>
      <c r="W15" s="363"/>
    </row>
    <row r="16" spans="1:23" ht="22.95" customHeight="1" x14ac:dyDescent="0.3">
      <c r="A16" s="118"/>
      <c r="B16" s="116" t="s">
        <v>137</v>
      </c>
      <c r="C16" s="116" t="s">
        <v>492</v>
      </c>
      <c r="D16" s="116"/>
      <c r="E16" s="116"/>
      <c r="F16" s="121"/>
      <c r="G16" s="118" t="s">
        <v>2</v>
      </c>
      <c r="H16" s="363" t="str">
        <f>'URAIAN JABATAN'!G14</f>
        <v>-</v>
      </c>
      <c r="I16" s="363"/>
      <c r="J16" s="363"/>
      <c r="K16" s="363"/>
      <c r="L16" s="363"/>
      <c r="M16" s="363"/>
      <c r="N16" s="363"/>
      <c r="O16" s="363"/>
      <c r="P16" s="363"/>
      <c r="Q16" s="363"/>
      <c r="R16" s="363"/>
      <c r="S16" s="363"/>
      <c r="T16" s="363"/>
      <c r="U16" s="363"/>
      <c r="V16" s="363"/>
      <c r="W16" s="363"/>
    </row>
    <row r="17" spans="1:23" ht="22.95" customHeight="1" x14ac:dyDescent="0.3">
      <c r="A17" s="118"/>
      <c r="B17" s="116" t="s">
        <v>138</v>
      </c>
      <c r="C17" s="116" t="s">
        <v>493</v>
      </c>
      <c r="D17" s="116"/>
      <c r="E17" s="116"/>
      <c r="F17" s="121"/>
      <c r="G17" s="118" t="s">
        <v>2</v>
      </c>
      <c r="H17" s="329" t="s">
        <v>7</v>
      </c>
      <c r="I17" s="329"/>
      <c r="J17" s="329"/>
      <c r="K17" s="329"/>
      <c r="L17" s="329"/>
      <c r="M17" s="329"/>
      <c r="N17" s="329"/>
      <c r="O17" s="329"/>
      <c r="P17" s="329"/>
      <c r="Q17" s="329"/>
      <c r="R17" s="329"/>
      <c r="S17" s="329"/>
      <c r="T17" s="329"/>
      <c r="U17" s="329"/>
      <c r="V17" s="329"/>
      <c r="W17" s="329"/>
    </row>
    <row r="18" spans="1:23" ht="22.95" customHeight="1" x14ac:dyDescent="0.3">
      <c r="A18" s="118"/>
      <c r="B18" s="116" t="s">
        <v>139</v>
      </c>
      <c r="C18" s="116" t="s">
        <v>494</v>
      </c>
      <c r="D18" s="116"/>
      <c r="E18" s="116"/>
      <c r="F18" s="118"/>
      <c r="G18" s="118" t="s">
        <v>2</v>
      </c>
      <c r="H18" s="329" t="s">
        <v>7</v>
      </c>
      <c r="I18" s="329"/>
      <c r="J18" s="329"/>
      <c r="K18" s="329"/>
      <c r="L18" s="329"/>
      <c r="M18" s="329"/>
      <c r="N18" s="329"/>
      <c r="O18" s="329"/>
      <c r="P18" s="329"/>
      <c r="Q18" s="329"/>
      <c r="R18" s="329"/>
      <c r="S18" s="329"/>
      <c r="T18" s="329"/>
      <c r="U18" s="329"/>
      <c r="V18" s="329"/>
      <c r="W18" s="329"/>
    </row>
    <row r="19" spans="1:23" x14ac:dyDescent="0.3">
      <c r="A19" s="122" t="s">
        <v>127</v>
      </c>
      <c r="B19" s="123" t="s">
        <v>283</v>
      </c>
      <c r="C19" s="79"/>
      <c r="D19" s="79"/>
      <c r="E19" s="79"/>
      <c r="F19" s="79"/>
      <c r="G19" s="78" t="s">
        <v>2</v>
      </c>
      <c r="H19" s="79"/>
      <c r="I19" s="79"/>
      <c r="J19" s="79"/>
      <c r="K19" s="79"/>
      <c r="L19" s="79"/>
      <c r="M19" s="79"/>
      <c r="N19" s="79"/>
      <c r="O19" s="79"/>
      <c r="P19" s="79"/>
      <c r="Q19" s="79"/>
      <c r="R19" s="79"/>
      <c r="S19" s="79"/>
      <c r="T19" s="79"/>
      <c r="U19" s="79"/>
      <c r="V19" s="79"/>
      <c r="W19" s="79"/>
    </row>
    <row r="20" spans="1:23" ht="30" customHeight="1" x14ac:dyDescent="0.3">
      <c r="A20" s="78"/>
      <c r="B20" s="329" t="str">
        <f>'URAIAN JABATAN'!B33</f>
        <v>Melaksanakan kegiatan dukungan administrasi perkantoran, pemerintahan, dan pelayanan publik dalam lingkup tugas perencanaan, evaluasi, dan pelaporan.</v>
      </c>
      <c r="C20" s="329"/>
      <c r="D20" s="329"/>
      <c r="E20" s="329"/>
      <c r="F20" s="329"/>
      <c r="G20" s="329"/>
      <c r="H20" s="329"/>
      <c r="I20" s="329"/>
      <c r="J20" s="329"/>
      <c r="K20" s="329"/>
      <c r="L20" s="329"/>
      <c r="M20" s="329"/>
      <c r="N20" s="329"/>
      <c r="O20" s="329"/>
      <c r="P20" s="329"/>
      <c r="Q20" s="329"/>
      <c r="R20" s="329"/>
      <c r="S20" s="329"/>
      <c r="T20" s="329"/>
      <c r="U20" s="329"/>
      <c r="V20" s="329"/>
      <c r="W20" s="329"/>
    </row>
    <row r="21" spans="1:23" x14ac:dyDescent="0.3">
      <c r="A21" s="122" t="s">
        <v>129</v>
      </c>
      <c r="B21" s="123" t="s">
        <v>495</v>
      </c>
      <c r="C21" s="120"/>
      <c r="D21" s="120"/>
      <c r="E21" s="120"/>
      <c r="F21" s="120"/>
      <c r="G21" s="120" t="s">
        <v>2</v>
      </c>
      <c r="H21" s="120"/>
      <c r="I21" s="120"/>
      <c r="J21" s="120"/>
      <c r="K21" s="120"/>
      <c r="L21" s="120"/>
      <c r="M21" s="120"/>
      <c r="N21" s="120"/>
      <c r="O21" s="120"/>
      <c r="P21" s="120"/>
      <c r="Q21" s="120"/>
      <c r="R21" s="120"/>
      <c r="S21" s="120"/>
      <c r="T21" s="120"/>
      <c r="U21" s="120"/>
      <c r="V21" s="120"/>
      <c r="W21" s="120"/>
    </row>
    <row r="22" spans="1:23" ht="32.4" customHeight="1" x14ac:dyDescent="0.3">
      <c r="A22" s="78"/>
      <c r="B22" s="116" t="s">
        <v>133</v>
      </c>
      <c r="C22" s="116" t="s">
        <v>496</v>
      </c>
      <c r="D22" s="120"/>
      <c r="E22" s="120"/>
      <c r="F22" s="120"/>
      <c r="G22" s="120"/>
      <c r="H22" s="120"/>
      <c r="I22" s="120" t="s">
        <v>2</v>
      </c>
      <c r="J22" s="329" t="str">
        <f>'URAIAN JABATAN'!I117</f>
        <v>SLTA Sederajat/D-3(Diploma-Tiga) bidang yang relevan dengan tugas jabatan</v>
      </c>
      <c r="K22" s="329"/>
      <c r="L22" s="329"/>
      <c r="M22" s="329"/>
      <c r="N22" s="329"/>
      <c r="O22" s="329"/>
      <c r="P22" s="329"/>
      <c r="Q22" s="329"/>
      <c r="R22" s="329"/>
      <c r="S22" s="329"/>
      <c r="T22" s="329"/>
      <c r="U22" s="329"/>
      <c r="V22" s="329"/>
      <c r="W22" s="329"/>
    </row>
    <row r="23" spans="1:23" ht="14.4" customHeight="1" x14ac:dyDescent="0.3">
      <c r="A23" s="78"/>
      <c r="B23" s="116" t="s">
        <v>134</v>
      </c>
      <c r="C23" s="116" t="s">
        <v>497</v>
      </c>
      <c r="D23" s="120"/>
      <c r="E23" s="120"/>
      <c r="F23" s="120"/>
      <c r="G23" s="120"/>
      <c r="H23" s="120"/>
      <c r="I23" s="120" t="s">
        <v>2</v>
      </c>
      <c r="J23" s="343" t="s">
        <v>498</v>
      </c>
      <c r="K23" s="343"/>
      <c r="L23" s="343"/>
      <c r="M23" s="343"/>
      <c r="N23" s="343"/>
      <c r="O23" s="343"/>
      <c r="P23" s="343"/>
      <c r="Q23" s="343"/>
      <c r="R23" s="343"/>
      <c r="S23" s="343"/>
      <c r="T23" s="343"/>
      <c r="U23" s="343"/>
      <c r="V23" s="343"/>
      <c r="W23" s="343"/>
    </row>
    <row r="24" spans="1:23" ht="14.4" customHeight="1" x14ac:dyDescent="0.3">
      <c r="A24" s="78"/>
      <c r="B24" s="116" t="s">
        <v>135</v>
      </c>
      <c r="C24" s="116" t="s">
        <v>220</v>
      </c>
      <c r="D24" s="120"/>
      <c r="E24" s="120"/>
      <c r="F24" s="120"/>
      <c r="G24" s="120"/>
      <c r="H24" s="120"/>
      <c r="I24" s="120" t="s">
        <v>2</v>
      </c>
      <c r="J24" s="343" t="str">
        <f>DATA!D33</f>
        <v>-</v>
      </c>
      <c r="K24" s="343"/>
      <c r="L24" s="343"/>
      <c r="M24" s="343"/>
      <c r="N24" s="343"/>
      <c r="O24" s="343"/>
      <c r="P24" s="343"/>
      <c r="Q24" s="343"/>
      <c r="R24" s="343"/>
      <c r="S24" s="343"/>
      <c r="T24" s="343"/>
      <c r="U24" s="343"/>
      <c r="V24" s="343"/>
      <c r="W24" s="343"/>
    </row>
    <row r="25" spans="1:23" x14ac:dyDescent="0.3">
      <c r="A25" s="122" t="s">
        <v>131</v>
      </c>
      <c r="B25" s="123" t="s">
        <v>499</v>
      </c>
      <c r="C25" s="79"/>
      <c r="D25" s="79"/>
      <c r="E25" s="116"/>
      <c r="F25" s="79" t="s">
        <v>2</v>
      </c>
      <c r="G25" s="116"/>
      <c r="H25" s="116"/>
      <c r="I25" s="116"/>
      <c r="J25" s="116"/>
      <c r="K25" s="116"/>
      <c r="L25" s="116"/>
      <c r="M25" s="116"/>
      <c r="N25" s="116"/>
      <c r="O25" s="116"/>
      <c r="P25" s="116"/>
      <c r="Q25" s="116"/>
      <c r="R25" s="116"/>
      <c r="S25" s="116"/>
      <c r="T25" s="116"/>
      <c r="U25" s="116"/>
      <c r="V25" s="116"/>
      <c r="W25" s="116"/>
    </row>
    <row r="26" spans="1:23" ht="43.5" customHeight="1" x14ac:dyDescent="0.3">
      <c r="B26" s="220" t="s">
        <v>500</v>
      </c>
      <c r="C26" s="347" t="s">
        <v>310</v>
      </c>
      <c r="D26" s="347"/>
      <c r="E26" s="347"/>
      <c r="F26" s="347"/>
      <c r="G26" s="347"/>
      <c r="H26" s="347"/>
      <c r="I26" s="347" t="s">
        <v>501</v>
      </c>
      <c r="J26" s="347"/>
      <c r="K26" s="347"/>
      <c r="L26" s="347"/>
      <c r="M26" s="347"/>
      <c r="N26" s="347"/>
      <c r="O26" s="344" t="s">
        <v>502</v>
      </c>
      <c r="P26" s="345"/>
      <c r="Q26" s="346"/>
      <c r="R26" s="347" t="s">
        <v>503</v>
      </c>
      <c r="S26" s="347"/>
      <c r="T26" s="347" t="s">
        <v>504</v>
      </c>
      <c r="U26" s="347"/>
      <c r="V26" s="347" t="s">
        <v>505</v>
      </c>
      <c r="W26" s="347"/>
    </row>
    <row r="27" spans="1:23" ht="74.400000000000006" customHeight="1" x14ac:dyDescent="0.3">
      <c r="B27" s="81">
        <v>1</v>
      </c>
      <c r="C27" s="336" t="str">
        <f>'URAIAN JABATAN'!C35</f>
        <v>Melakukan penatausahaan surat dan dokumen yang meliputi penerimaan, penelitian, verifikasi, pencatatan, dan distribusi surat dan dokumen dalam lingkup tugas perencanaan, evaluasi, dan pelaporan</v>
      </c>
      <c r="D27" s="336"/>
      <c r="E27" s="336"/>
      <c r="F27" s="336"/>
      <c r="G27" s="336"/>
      <c r="H27" s="336"/>
      <c r="I27" s="336" t="str">
        <f>'URAIAN JABATAN'!C65</f>
        <v>Laporan kegiatan penatausahaan surat dan dokumen dalam lingkup tugas perencanaan, evaluasi, dan pelaporan</v>
      </c>
      <c r="J27" s="336"/>
      <c r="K27" s="336"/>
      <c r="L27" s="336"/>
      <c r="M27" s="336"/>
      <c r="N27" s="336"/>
      <c r="O27" s="333">
        <f>ABK!K10</f>
        <v>240</v>
      </c>
      <c r="P27" s="334"/>
      <c r="Q27" s="335"/>
      <c r="R27" s="331" t="str">
        <f>ABK!L10</f>
        <v>1,5</v>
      </c>
      <c r="S27" s="331"/>
      <c r="T27" s="330">
        <f>ABK!M10</f>
        <v>1250</v>
      </c>
      <c r="U27" s="331"/>
      <c r="V27" s="332" t="e">
        <f t="shared" ref="V27:V33" si="0">O27*R27/T27</f>
        <v>#VALUE!</v>
      </c>
      <c r="W27" s="332"/>
    </row>
    <row r="28" spans="1:23" ht="75.599999999999994" customHeight="1" x14ac:dyDescent="0.3">
      <c r="B28" s="81">
        <v>2</v>
      </c>
      <c r="C28" s="336" t="str">
        <f>'URAIAN JABATAN'!C36</f>
        <v>Menyusun dan menyediakan surat dan dokumen sesuai tata naskah dinas yang berlaku dalam lingkup tugas perencanaan, evaluasi, dan pelaporan</v>
      </c>
      <c r="D28" s="336"/>
      <c r="E28" s="336"/>
      <c r="F28" s="336"/>
      <c r="G28" s="336"/>
      <c r="H28" s="336"/>
      <c r="I28" s="336" t="str">
        <f>'URAIAN JABATAN'!C66</f>
        <v>Dokumen dan surat dalam lingkup tugas perencanaan, evaluasi, dan pelaporan</v>
      </c>
      <c r="J28" s="336"/>
      <c r="K28" s="336"/>
      <c r="L28" s="336"/>
      <c r="M28" s="336"/>
      <c r="N28" s="336"/>
      <c r="O28" s="333">
        <f>ABK!K11</f>
        <v>48</v>
      </c>
      <c r="P28" s="334"/>
      <c r="Q28" s="335"/>
      <c r="R28" s="331" t="str">
        <f>ABK!L11</f>
        <v>4,5</v>
      </c>
      <c r="S28" s="331"/>
      <c r="T28" s="330">
        <f>ABK!M11</f>
        <v>1250</v>
      </c>
      <c r="U28" s="331"/>
      <c r="V28" s="332" t="e">
        <f t="shared" si="0"/>
        <v>#VALUE!</v>
      </c>
      <c r="W28" s="332"/>
    </row>
    <row r="29" spans="1:23" ht="77.400000000000006" customHeight="1" x14ac:dyDescent="0.3">
      <c r="B29" s="81">
        <v>3</v>
      </c>
      <c r="C29" s="336" t="str">
        <f>'URAIAN JABATAN'!C37</f>
        <v>Melakukan penyimpanan dan pengarsipan sesuai dengan tata kelola arsip terhadap surat dan dokumen dalam lingkup tugas perencanaan, evaluasi, dan pelaporan</v>
      </c>
      <c r="D29" s="336"/>
      <c r="E29" s="336"/>
      <c r="F29" s="336"/>
      <c r="G29" s="336"/>
      <c r="H29" s="336"/>
      <c r="I29" s="336" t="str">
        <f>'URAIAN JABATAN'!C67</f>
        <v>Arsip surat dan dokumen dalam lingkup tugas perencanaan, evaluasi, dan pelaporan</v>
      </c>
      <c r="J29" s="336"/>
      <c r="K29" s="336"/>
      <c r="L29" s="336"/>
      <c r="M29" s="336"/>
      <c r="N29" s="336"/>
      <c r="O29" s="333">
        <f>ABK!K12</f>
        <v>12</v>
      </c>
      <c r="P29" s="334"/>
      <c r="Q29" s="335"/>
      <c r="R29" s="331">
        <f>ABK!L12</f>
        <v>3</v>
      </c>
      <c r="S29" s="331"/>
      <c r="T29" s="330">
        <f>ABK!M12</f>
        <v>1250</v>
      </c>
      <c r="U29" s="331"/>
      <c r="V29" s="332">
        <f t="shared" si="0"/>
        <v>2.8799999999999999E-2</v>
      </c>
      <c r="W29" s="332"/>
    </row>
    <row r="30" spans="1:23" ht="78" customHeight="1" x14ac:dyDescent="0.3">
      <c r="B30" s="81">
        <v>4</v>
      </c>
      <c r="C30" s="336" t="str">
        <f>'URAIAN JABATAN'!C38</f>
        <v>Melakukan kegiatan pelayanan publik dalam lingkup tugas perencanaan, evaluasi, dan pelaporan</v>
      </c>
      <c r="D30" s="336"/>
      <c r="E30" s="336"/>
      <c r="F30" s="336"/>
      <c r="G30" s="336"/>
      <c r="H30" s="336"/>
      <c r="I30" s="336" t="str">
        <f>'URAIAN JABATAN'!C68</f>
        <v>Laporan kegiatan pelayanan publik dalam lingkup tugas perencanaan, evaluasi, dan pelaporan</v>
      </c>
      <c r="J30" s="336"/>
      <c r="K30" s="336"/>
      <c r="L30" s="336"/>
      <c r="M30" s="336"/>
      <c r="N30" s="336"/>
      <c r="O30" s="333">
        <f>ABK!K13</f>
        <v>240</v>
      </c>
      <c r="P30" s="334"/>
      <c r="Q30" s="335"/>
      <c r="R30" s="331" t="str">
        <f>ABK!L13</f>
        <v>1,5</v>
      </c>
      <c r="S30" s="331"/>
      <c r="T30" s="330">
        <f>ABK!M13</f>
        <v>1250</v>
      </c>
      <c r="U30" s="331"/>
      <c r="V30" s="332" t="e">
        <f t="shared" si="0"/>
        <v>#VALUE!</v>
      </c>
      <c r="W30" s="332"/>
    </row>
    <row r="31" spans="1:23" ht="66" customHeight="1" x14ac:dyDescent="0.3">
      <c r="B31" s="81">
        <v>5</v>
      </c>
      <c r="C31" s="336" t="str">
        <f>'URAIAN JABATAN'!C39</f>
        <v>Melaksanakan pemberian dukungan teknis terhadap pelaksanaan tugas dan fungsi unit organisasi berupa penyiapan dan penyusunan dokumen, data, bahan, dan perlengkapan kegiatan dalam rangka pencapaian target kinerja organisasi.</v>
      </c>
      <c r="D31" s="336"/>
      <c r="E31" s="336"/>
      <c r="F31" s="336"/>
      <c r="G31" s="336"/>
      <c r="H31" s="336"/>
      <c r="I31" s="336" t="str">
        <f>'URAIAN JABATAN'!C69</f>
        <v>Dokumen, bahan, dan perlengkapan kegiatan tugas dan fungsi unit organisasi</v>
      </c>
      <c r="J31" s="336"/>
      <c r="K31" s="336"/>
      <c r="L31" s="336"/>
      <c r="M31" s="336"/>
      <c r="N31" s="336"/>
      <c r="O31" s="333">
        <f>ABK!K14</f>
        <v>240</v>
      </c>
      <c r="P31" s="334"/>
      <c r="Q31" s="335"/>
      <c r="R31" s="331">
        <f>ABK!L14</f>
        <v>1</v>
      </c>
      <c r="S31" s="331"/>
      <c r="T31" s="330">
        <f>ABK!M14</f>
        <v>1250</v>
      </c>
      <c r="U31" s="331"/>
      <c r="V31" s="332">
        <f t="shared" si="0"/>
        <v>0.192</v>
      </c>
      <c r="W31" s="332"/>
    </row>
    <row r="32" spans="1:23" ht="48" customHeight="1" x14ac:dyDescent="0.3">
      <c r="B32" s="81">
        <v>6</v>
      </c>
      <c r="C32" s="336" t="str">
        <f>'URAIAN JABATAN'!C40</f>
        <v>Menyusun laporan pelaksanaan tugas dan menyampaikan kepada pimpinan sebagai wujud akuntabilitas dan pertanggungjawaban pelaksanaan tugas.</v>
      </c>
      <c r="D32" s="336"/>
      <c r="E32" s="336"/>
      <c r="F32" s="336"/>
      <c r="G32" s="336"/>
      <c r="H32" s="336"/>
      <c r="I32" s="336" t="str">
        <f>'URAIAN JABATAN'!C70</f>
        <v>Laporan bulanan pelaksanaan tugas dan kegiatan</v>
      </c>
      <c r="J32" s="336"/>
      <c r="K32" s="336"/>
      <c r="L32" s="336"/>
      <c r="M32" s="336"/>
      <c r="N32" s="336"/>
      <c r="O32" s="333">
        <f>ABK!K15</f>
        <v>12</v>
      </c>
      <c r="P32" s="334"/>
      <c r="Q32" s="335"/>
      <c r="R32" s="331">
        <f>ABK!L15</f>
        <v>3</v>
      </c>
      <c r="S32" s="331"/>
      <c r="T32" s="330">
        <f>ABK!M15</f>
        <v>1250</v>
      </c>
      <c r="U32" s="331"/>
      <c r="V32" s="332">
        <f t="shared" si="0"/>
        <v>2.8799999999999999E-2</v>
      </c>
      <c r="W32" s="332"/>
    </row>
    <row r="33" spans="1:23" ht="44.4" customHeight="1" x14ac:dyDescent="0.3">
      <c r="B33" s="81">
        <v>7</v>
      </c>
      <c r="C33" s="336" t="str">
        <f>'URAIAN JABATAN'!C41</f>
        <v>Melaksanakan tugas kedinasan lain yang diberikan oleh pimpinan, baik lisan maupun tertulis sebagai wujud loyalitas dan kerjasama yang baik.</v>
      </c>
      <c r="D33" s="336"/>
      <c r="E33" s="336"/>
      <c r="F33" s="336"/>
      <c r="G33" s="336"/>
      <c r="H33" s="336"/>
      <c r="I33" s="336" t="str">
        <f>'URAIAN JABATAN'!C71</f>
        <v>Laporan tugas tambahan/kedinasan lainnya</v>
      </c>
      <c r="J33" s="336"/>
      <c r="K33" s="336"/>
      <c r="L33" s="336"/>
      <c r="M33" s="336"/>
      <c r="N33" s="336"/>
      <c r="O33" s="333">
        <f>ABK!K16</f>
        <v>2</v>
      </c>
      <c r="P33" s="334"/>
      <c r="Q33" s="335"/>
      <c r="R33" s="331" t="str">
        <f>ABK!L16</f>
        <v>1,5</v>
      </c>
      <c r="S33" s="331"/>
      <c r="T33" s="330">
        <f>ABK!M16</f>
        <v>1250</v>
      </c>
      <c r="U33" s="331"/>
      <c r="V33" s="332" t="e">
        <f t="shared" si="0"/>
        <v>#VALUE!</v>
      </c>
      <c r="W33" s="332"/>
    </row>
    <row r="34" spans="1:23" x14ac:dyDescent="0.3">
      <c r="B34" s="349" t="s">
        <v>506</v>
      </c>
      <c r="C34" s="350"/>
      <c r="D34" s="350"/>
      <c r="E34" s="350"/>
      <c r="F34" s="350"/>
      <c r="G34" s="350"/>
      <c r="H34" s="350"/>
      <c r="I34" s="350"/>
      <c r="J34" s="350"/>
      <c r="K34" s="350"/>
      <c r="L34" s="350"/>
      <c r="M34" s="350"/>
      <c r="N34" s="350"/>
      <c r="O34" s="350"/>
      <c r="P34" s="350"/>
      <c r="Q34" s="351"/>
      <c r="R34" s="352" t="e">
        <f>(O27*R27)+(O28*R28)+(O29*R29)+(O30*R30)+(O33*R33)+(O31*R31)+(O32*R32)</f>
        <v>#VALUE!</v>
      </c>
      <c r="S34" s="352"/>
      <c r="T34" s="353"/>
      <c r="U34" s="353"/>
      <c r="V34" s="354" t="e">
        <f>SUM(V27:W33)</f>
        <v>#VALUE!</v>
      </c>
      <c r="W34" s="353"/>
    </row>
    <row r="35" spans="1:23" x14ac:dyDescent="0.3">
      <c r="B35" s="349" t="s">
        <v>507</v>
      </c>
      <c r="C35" s="350"/>
      <c r="D35" s="350"/>
      <c r="E35" s="350"/>
      <c r="F35" s="350"/>
      <c r="G35" s="350"/>
      <c r="H35" s="350"/>
      <c r="I35" s="350"/>
      <c r="J35" s="350"/>
      <c r="K35" s="350"/>
      <c r="L35" s="350"/>
      <c r="M35" s="350"/>
      <c r="N35" s="350"/>
      <c r="O35" s="350"/>
      <c r="P35" s="350"/>
      <c r="Q35" s="350"/>
      <c r="R35" s="230"/>
      <c r="S35" s="231"/>
      <c r="T35" s="353"/>
      <c r="U35" s="353"/>
      <c r="V35" s="355">
        <f>ABK!N18</f>
        <v>1</v>
      </c>
      <c r="W35" s="355"/>
    </row>
    <row r="36" spans="1:23" x14ac:dyDescent="0.3">
      <c r="A36" s="78"/>
      <c r="B36" s="114"/>
      <c r="C36" s="114"/>
      <c r="D36" s="114"/>
      <c r="E36" s="114"/>
      <c r="F36" s="114"/>
      <c r="G36" s="114"/>
      <c r="H36" s="114"/>
      <c r="I36" s="114"/>
      <c r="J36" s="114"/>
      <c r="K36" s="114"/>
      <c r="L36" s="114"/>
      <c r="M36" s="114"/>
      <c r="N36" s="114"/>
      <c r="O36" s="114"/>
      <c r="P36" s="114"/>
      <c r="Q36" s="114"/>
      <c r="R36" s="115"/>
      <c r="S36" s="115"/>
      <c r="T36" s="114"/>
      <c r="U36" s="114"/>
      <c r="V36" s="124"/>
      <c r="W36" s="124"/>
    </row>
    <row r="37" spans="1:23" x14ac:dyDescent="0.3">
      <c r="A37" s="122" t="s">
        <v>140</v>
      </c>
      <c r="B37" s="123" t="s">
        <v>501</v>
      </c>
      <c r="C37" s="114"/>
      <c r="D37" s="114"/>
      <c r="E37" s="114"/>
      <c r="F37" s="118" t="s">
        <v>2</v>
      </c>
      <c r="G37" s="114"/>
      <c r="H37" s="114"/>
      <c r="I37" s="114"/>
      <c r="J37" s="114"/>
      <c r="K37" s="114"/>
      <c r="L37" s="114"/>
      <c r="M37" s="114"/>
      <c r="N37" s="114"/>
      <c r="O37" s="114"/>
      <c r="P37" s="114"/>
      <c r="Q37" s="114"/>
      <c r="R37" s="115"/>
      <c r="S37" s="115"/>
      <c r="T37" s="114"/>
      <c r="U37" s="114"/>
      <c r="V37" s="124"/>
      <c r="W37" s="124"/>
    </row>
    <row r="38" spans="1:23" ht="21.6" customHeight="1" x14ac:dyDescent="0.3">
      <c r="A38" s="78"/>
      <c r="B38" s="118" t="s">
        <v>133</v>
      </c>
      <c r="C38" s="329" t="str">
        <f t="shared" ref="C38:C44" si="1">I27</f>
        <v>Laporan kegiatan penatausahaan surat dan dokumen dalam lingkup tugas perencanaan, evaluasi, dan pelaporan</v>
      </c>
      <c r="D38" s="329"/>
      <c r="E38" s="329"/>
      <c r="F38" s="329"/>
      <c r="G38" s="329"/>
      <c r="H38" s="329"/>
      <c r="I38" s="329"/>
      <c r="J38" s="329"/>
      <c r="K38" s="329"/>
      <c r="L38" s="329"/>
      <c r="M38" s="329"/>
      <c r="N38" s="329"/>
      <c r="O38" s="329"/>
      <c r="P38" s="329"/>
      <c r="Q38" s="329"/>
      <c r="R38" s="329"/>
      <c r="S38" s="329"/>
      <c r="T38" s="329"/>
      <c r="U38" s="329"/>
      <c r="V38" s="329"/>
      <c r="W38" s="329"/>
    </row>
    <row r="39" spans="1:23" ht="21.6" customHeight="1" x14ac:dyDescent="0.3">
      <c r="A39" s="78"/>
      <c r="B39" s="118" t="s">
        <v>134</v>
      </c>
      <c r="C39" s="329" t="str">
        <f t="shared" si="1"/>
        <v>Dokumen dan surat dalam lingkup tugas perencanaan, evaluasi, dan pelaporan</v>
      </c>
      <c r="D39" s="329"/>
      <c r="E39" s="329"/>
      <c r="F39" s="329"/>
      <c r="G39" s="329"/>
      <c r="H39" s="329"/>
      <c r="I39" s="329"/>
      <c r="J39" s="329"/>
      <c r="K39" s="329"/>
      <c r="L39" s="329"/>
      <c r="M39" s="329"/>
      <c r="N39" s="329"/>
      <c r="O39" s="329"/>
      <c r="P39" s="329"/>
      <c r="Q39" s="329"/>
      <c r="R39" s="329"/>
      <c r="S39" s="329"/>
      <c r="T39" s="329"/>
      <c r="U39" s="329"/>
      <c r="V39" s="329"/>
      <c r="W39" s="329"/>
    </row>
    <row r="40" spans="1:23" ht="21.6" customHeight="1" x14ac:dyDescent="0.3">
      <c r="A40" s="78"/>
      <c r="B40" s="118" t="s">
        <v>135</v>
      </c>
      <c r="C40" s="329" t="str">
        <f t="shared" si="1"/>
        <v>Arsip surat dan dokumen dalam lingkup tugas perencanaan, evaluasi, dan pelaporan</v>
      </c>
      <c r="D40" s="329"/>
      <c r="E40" s="329"/>
      <c r="F40" s="329"/>
      <c r="G40" s="329"/>
      <c r="H40" s="329"/>
      <c r="I40" s="329"/>
      <c r="J40" s="329"/>
      <c r="K40" s="329"/>
      <c r="L40" s="329"/>
      <c r="M40" s="329"/>
      <c r="N40" s="329"/>
      <c r="O40" s="329"/>
      <c r="P40" s="329"/>
      <c r="Q40" s="329"/>
      <c r="R40" s="329"/>
      <c r="S40" s="329"/>
      <c r="T40" s="329"/>
      <c r="U40" s="329"/>
      <c r="V40" s="329"/>
      <c r="W40" s="329"/>
    </row>
    <row r="41" spans="1:23" ht="21.6" customHeight="1" x14ac:dyDescent="0.3">
      <c r="A41" s="78"/>
      <c r="B41" s="118" t="s">
        <v>136</v>
      </c>
      <c r="C41" s="329" t="str">
        <f t="shared" si="1"/>
        <v>Laporan kegiatan pelayanan publik dalam lingkup tugas perencanaan, evaluasi, dan pelaporan</v>
      </c>
      <c r="D41" s="329"/>
      <c r="E41" s="329"/>
      <c r="F41" s="329"/>
      <c r="G41" s="329"/>
      <c r="H41" s="329"/>
      <c r="I41" s="329"/>
      <c r="J41" s="329"/>
      <c r="K41" s="329"/>
      <c r="L41" s="329"/>
      <c r="M41" s="329"/>
      <c r="N41" s="329"/>
      <c r="O41" s="329"/>
      <c r="P41" s="329"/>
      <c r="Q41" s="329"/>
      <c r="R41" s="329"/>
      <c r="S41" s="329"/>
      <c r="T41" s="329"/>
      <c r="U41" s="329"/>
      <c r="V41" s="329"/>
      <c r="W41" s="329"/>
    </row>
    <row r="42" spans="1:23" x14ac:dyDescent="0.3">
      <c r="A42" s="78"/>
      <c r="B42" s="118" t="s">
        <v>137</v>
      </c>
      <c r="C42" s="329" t="str">
        <f t="shared" si="1"/>
        <v>Dokumen, bahan, dan perlengkapan kegiatan tugas dan fungsi unit organisasi</v>
      </c>
      <c r="D42" s="329"/>
      <c r="E42" s="329"/>
      <c r="F42" s="329"/>
      <c r="G42" s="329"/>
      <c r="H42" s="329"/>
      <c r="I42" s="329"/>
      <c r="J42" s="329"/>
      <c r="K42" s="329"/>
      <c r="L42" s="329"/>
      <c r="M42" s="329"/>
      <c r="N42" s="329"/>
      <c r="O42" s="329"/>
      <c r="P42" s="329"/>
      <c r="Q42" s="329"/>
      <c r="R42" s="329"/>
      <c r="S42" s="329"/>
      <c r="T42" s="329"/>
      <c r="U42" s="329"/>
      <c r="V42" s="329"/>
      <c r="W42" s="329"/>
    </row>
    <row r="43" spans="1:23" x14ac:dyDescent="0.3">
      <c r="A43" s="78"/>
      <c r="B43" s="118" t="s">
        <v>138</v>
      </c>
      <c r="C43" s="329" t="str">
        <f t="shared" si="1"/>
        <v>Laporan bulanan pelaksanaan tugas dan kegiatan</v>
      </c>
      <c r="D43" s="329"/>
      <c r="E43" s="329"/>
      <c r="F43" s="329"/>
      <c r="G43" s="329"/>
      <c r="H43" s="329"/>
      <c r="I43" s="329"/>
      <c r="J43" s="329"/>
      <c r="K43" s="329"/>
      <c r="L43" s="329"/>
      <c r="M43" s="329"/>
      <c r="N43" s="329"/>
      <c r="O43" s="329"/>
      <c r="P43" s="329"/>
      <c r="Q43" s="329"/>
      <c r="R43" s="329"/>
      <c r="S43" s="329"/>
      <c r="T43" s="329"/>
      <c r="U43" s="329"/>
      <c r="V43" s="329"/>
      <c r="W43" s="329"/>
    </row>
    <row r="44" spans="1:23" x14ac:dyDescent="0.3">
      <c r="A44" s="78"/>
      <c r="B44" s="118" t="s">
        <v>139</v>
      </c>
      <c r="C44" s="329" t="str">
        <f t="shared" si="1"/>
        <v>Laporan tugas tambahan/kedinasan lainnya</v>
      </c>
      <c r="D44" s="329"/>
      <c r="E44" s="329"/>
      <c r="F44" s="329"/>
      <c r="G44" s="329"/>
      <c r="H44" s="329"/>
      <c r="I44" s="329"/>
      <c r="J44" s="329"/>
      <c r="K44" s="329"/>
      <c r="L44" s="329"/>
      <c r="M44" s="329"/>
      <c r="N44" s="329"/>
      <c r="O44" s="329"/>
      <c r="P44" s="329"/>
      <c r="Q44" s="329"/>
      <c r="R44" s="329"/>
      <c r="S44" s="329"/>
      <c r="T44" s="329"/>
      <c r="U44" s="329"/>
      <c r="V44" s="329"/>
      <c r="W44" s="329"/>
    </row>
    <row r="45" spans="1:23" x14ac:dyDescent="0.3">
      <c r="A45" s="78"/>
      <c r="B45" s="118"/>
      <c r="C45" s="125"/>
      <c r="D45" s="125"/>
      <c r="E45" s="125"/>
      <c r="F45" s="125"/>
      <c r="G45" s="125"/>
      <c r="H45" s="125"/>
      <c r="I45" s="116"/>
      <c r="J45" s="116"/>
      <c r="K45" s="116"/>
      <c r="L45" s="116"/>
      <c r="M45" s="116"/>
      <c r="N45" s="116"/>
      <c r="O45" s="116"/>
      <c r="P45" s="116"/>
      <c r="Q45" s="116"/>
      <c r="R45" s="116"/>
      <c r="S45" s="116"/>
      <c r="T45" s="116"/>
      <c r="U45" s="116"/>
      <c r="V45" s="116"/>
      <c r="W45" s="116"/>
    </row>
    <row r="46" spans="1:23" x14ac:dyDescent="0.3">
      <c r="A46" s="122" t="s">
        <v>153</v>
      </c>
      <c r="B46" s="123" t="s">
        <v>508</v>
      </c>
      <c r="C46" s="79"/>
      <c r="D46" s="79"/>
      <c r="E46" s="79"/>
      <c r="F46" s="79" t="s">
        <v>2</v>
      </c>
      <c r="G46" s="79"/>
      <c r="H46" s="79"/>
      <c r="I46" s="79"/>
      <c r="J46" s="79"/>
      <c r="K46" s="79"/>
      <c r="L46" s="79"/>
      <c r="M46" s="79"/>
      <c r="N46" s="79"/>
      <c r="O46" s="79"/>
      <c r="P46" s="79"/>
      <c r="Q46" s="79"/>
      <c r="R46" s="79"/>
      <c r="S46" s="79"/>
      <c r="T46" s="79"/>
      <c r="U46" s="79"/>
      <c r="V46" s="79"/>
      <c r="W46" s="79"/>
    </row>
    <row r="47" spans="1:23" ht="9" customHeight="1" x14ac:dyDescent="0.3">
      <c r="A47" s="78"/>
      <c r="B47" s="79"/>
      <c r="C47" s="79"/>
      <c r="D47" s="79"/>
      <c r="E47" s="79"/>
      <c r="F47" s="79"/>
      <c r="G47" s="79"/>
      <c r="H47" s="79"/>
      <c r="I47" s="79"/>
      <c r="J47" s="79"/>
      <c r="K47" s="79"/>
      <c r="L47" s="79"/>
      <c r="M47" s="79"/>
      <c r="N47" s="79"/>
      <c r="O47" s="79"/>
      <c r="P47" s="79"/>
      <c r="Q47" s="79"/>
      <c r="R47" s="79"/>
      <c r="S47" s="79"/>
      <c r="T47" s="79"/>
      <c r="U47" s="79"/>
      <c r="V47" s="79"/>
      <c r="W47" s="79"/>
    </row>
    <row r="48" spans="1:23" x14ac:dyDescent="0.3">
      <c r="A48" s="78"/>
      <c r="B48" s="219" t="s">
        <v>142</v>
      </c>
      <c r="C48" s="339" t="s">
        <v>141</v>
      </c>
      <c r="D48" s="339"/>
      <c r="E48" s="339"/>
      <c r="F48" s="339"/>
      <c r="G48" s="339"/>
      <c r="H48" s="339"/>
      <c r="I48" s="339"/>
      <c r="J48" s="339"/>
      <c r="K48" s="339"/>
      <c r="L48" s="339"/>
      <c r="M48" s="339"/>
      <c r="N48" s="339" t="s">
        <v>143</v>
      </c>
      <c r="O48" s="339"/>
      <c r="P48" s="339"/>
      <c r="Q48" s="339"/>
      <c r="R48" s="339"/>
      <c r="S48" s="339"/>
      <c r="T48" s="339"/>
      <c r="U48" s="339"/>
      <c r="V48" s="339"/>
      <c r="W48" s="339"/>
    </row>
    <row r="49" spans="1:23" ht="12.6" customHeight="1" x14ac:dyDescent="0.3">
      <c r="A49" s="78"/>
      <c r="B49" s="80">
        <v>1</v>
      </c>
      <c r="C49" s="340" t="str">
        <f>'URAIAN JABATAN'!C46</f>
        <v>Surat/dokumen yang terkait dengan bidang tugas.</v>
      </c>
      <c r="D49" s="341"/>
      <c r="E49" s="341"/>
      <c r="F49" s="341"/>
      <c r="G49" s="341"/>
      <c r="H49" s="341"/>
      <c r="I49" s="341"/>
      <c r="J49" s="341"/>
      <c r="K49" s="341"/>
      <c r="L49" s="341"/>
      <c r="M49" s="342"/>
      <c r="N49" s="336" t="str">
        <f>'URAIAN JABATAN'!N46</f>
        <v>Dasar dan acuan dalam pelaksanaan tugas.</v>
      </c>
      <c r="O49" s="336"/>
      <c r="P49" s="336"/>
      <c r="Q49" s="336"/>
      <c r="R49" s="336"/>
      <c r="S49" s="336"/>
      <c r="T49" s="336"/>
      <c r="U49" s="336"/>
      <c r="V49" s="336"/>
      <c r="W49" s="336"/>
    </row>
    <row r="50" spans="1:23" x14ac:dyDescent="0.3">
      <c r="A50" s="78"/>
      <c r="B50" s="80">
        <v>2</v>
      </c>
      <c r="C50" s="340" t="str">
        <f>'URAIAN JABATAN'!C47</f>
        <v>Data primer dan sekunder yang terkait dengan pelaksanaan tugas.</v>
      </c>
      <c r="D50" s="341"/>
      <c r="E50" s="341"/>
      <c r="F50" s="341"/>
      <c r="G50" s="341"/>
      <c r="H50" s="341"/>
      <c r="I50" s="341"/>
      <c r="J50" s="341"/>
      <c r="K50" s="341"/>
      <c r="L50" s="341"/>
      <c r="M50" s="342"/>
      <c r="N50" s="336" t="str">
        <f>'URAIAN JABATAN'!N47</f>
        <v>Bahan dan materi penyusunan dokumen.</v>
      </c>
      <c r="O50" s="336"/>
      <c r="P50" s="336"/>
      <c r="Q50" s="336"/>
      <c r="R50" s="336"/>
      <c r="S50" s="336"/>
      <c r="T50" s="336"/>
      <c r="U50" s="336"/>
      <c r="V50" s="336"/>
      <c r="W50" s="336"/>
    </row>
    <row r="51" spans="1:23" ht="13.2" customHeight="1" x14ac:dyDescent="0.3">
      <c r="A51" s="78"/>
      <c r="B51" s="80">
        <v>3</v>
      </c>
      <c r="C51" s="336" t="str">
        <f>'URAIAN JABATAN'!C48</f>
        <v>Materi rapat/sosialisasi/bimbingan teknis.</v>
      </c>
      <c r="D51" s="336"/>
      <c r="E51" s="336"/>
      <c r="F51" s="336"/>
      <c r="G51" s="336"/>
      <c r="H51" s="336"/>
      <c r="I51" s="336"/>
      <c r="J51" s="336"/>
      <c r="K51" s="336"/>
      <c r="L51" s="336"/>
      <c r="M51" s="336"/>
      <c r="N51" s="336" t="str">
        <f>'URAIAN JABATAN'!N48</f>
        <v>Referensi dalam pelaksanaan tugas.</v>
      </c>
      <c r="O51" s="336"/>
      <c r="P51" s="336"/>
      <c r="Q51" s="336"/>
      <c r="R51" s="336"/>
      <c r="S51" s="336"/>
      <c r="T51" s="336"/>
      <c r="U51" s="336"/>
      <c r="V51" s="336"/>
      <c r="W51" s="336"/>
    </row>
    <row r="52" spans="1:23" ht="13.2" customHeight="1" x14ac:dyDescent="0.3">
      <c r="A52" s="78"/>
      <c r="B52" s="80">
        <v>4</v>
      </c>
      <c r="C52" s="336" t="str">
        <f>'URAIAN JABATAN'!C49</f>
        <v>Buku/Karya Ilmiah</v>
      </c>
      <c r="D52" s="336"/>
      <c r="E52" s="336"/>
      <c r="F52" s="336"/>
      <c r="G52" s="336"/>
      <c r="H52" s="336"/>
      <c r="I52" s="336"/>
      <c r="J52" s="336"/>
      <c r="K52" s="336"/>
      <c r="L52" s="336"/>
      <c r="M52" s="336"/>
      <c r="N52" s="336" t="str">
        <f>'URAIAN JABATAN'!N49</f>
        <v>Referensi dalam pelaksanaan tugas.</v>
      </c>
      <c r="O52" s="336"/>
      <c r="P52" s="336"/>
      <c r="Q52" s="336"/>
      <c r="R52" s="336"/>
      <c r="S52" s="336"/>
      <c r="T52" s="336"/>
      <c r="U52" s="336"/>
      <c r="V52" s="336"/>
      <c r="W52" s="336"/>
    </row>
    <row r="53" spans="1:23" ht="13.2" customHeight="1" x14ac:dyDescent="0.3">
      <c r="A53" s="78"/>
      <c r="B53" s="80">
        <v>5</v>
      </c>
      <c r="C53" s="336" t="str">
        <f>'URAIAN JABATAN'!C50</f>
        <v>Kajian yang terkait dengan bidang tugas.</v>
      </c>
      <c r="D53" s="336"/>
      <c r="E53" s="336"/>
      <c r="F53" s="336"/>
      <c r="G53" s="336"/>
      <c r="H53" s="336"/>
      <c r="I53" s="336"/>
      <c r="J53" s="336"/>
      <c r="K53" s="336"/>
      <c r="L53" s="336"/>
      <c r="M53" s="336"/>
      <c r="N53" s="336" t="str">
        <f>'URAIAN JABATAN'!N50</f>
        <v>Referensi dalam pelaksanaan tugas.</v>
      </c>
      <c r="O53" s="336"/>
      <c r="P53" s="336"/>
      <c r="Q53" s="336"/>
      <c r="R53" s="336"/>
      <c r="S53" s="336"/>
      <c r="T53" s="336"/>
      <c r="U53" s="336"/>
      <c r="V53" s="336"/>
      <c r="W53" s="336"/>
    </row>
    <row r="54" spans="1:23" ht="13.2" customHeight="1" x14ac:dyDescent="0.3">
      <c r="A54" s="78"/>
      <c r="B54" s="81">
        <v>6</v>
      </c>
      <c r="C54" s="336" t="str">
        <f>'URAIAN JABATAN'!C51</f>
        <v>Informasi yang terkait dengan bidang tugas.</v>
      </c>
      <c r="D54" s="336"/>
      <c r="E54" s="336"/>
      <c r="F54" s="336"/>
      <c r="G54" s="336"/>
      <c r="H54" s="336"/>
      <c r="I54" s="336"/>
      <c r="J54" s="336"/>
      <c r="K54" s="336"/>
      <c r="L54" s="336"/>
      <c r="M54" s="336"/>
      <c r="N54" s="336" t="str">
        <f>'URAIAN JABATAN'!N51</f>
        <v>Referensi dalam pelaksanaan tugas.</v>
      </c>
      <c r="O54" s="336"/>
      <c r="P54" s="336"/>
      <c r="Q54" s="336"/>
      <c r="R54" s="336"/>
      <c r="S54" s="336"/>
      <c r="T54" s="336"/>
      <c r="U54" s="336"/>
      <c r="V54" s="336"/>
      <c r="W54" s="336"/>
    </row>
    <row r="55" spans="1:23" x14ac:dyDescent="0.3">
      <c r="A55" s="78"/>
      <c r="B55" s="120"/>
      <c r="C55" s="116"/>
      <c r="D55" s="116"/>
      <c r="E55" s="116"/>
      <c r="F55" s="116"/>
      <c r="G55" s="116"/>
      <c r="H55" s="116"/>
      <c r="I55" s="116"/>
      <c r="J55" s="116"/>
      <c r="K55" s="116"/>
      <c r="L55" s="116"/>
      <c r="M55" s="116"/>
      <c r="N55" s="116"/>
      <c r="O55" s="116"/>
      <c r="P55" s="116"/>
      <c r="Q55" s="116"/>
      <c r="R55" s="116"/>
      <c r="S55" s="116"/>
      <c r="T55" s="116"/>
      <c r="U55" s="116"/>
      <c r="V55" s="116"/>
      <c r="W55" s="116"/>
    </row>
    <row r="56" spans="1:23" x14ac:dyDescent="0.3">
      <c r="A56" s="122" t="s">
        <v>162</v>
      </c>
      <c r="B56" s="123" t="s">
        <v>509</v>
      </c>
      <c r="C56" s="79"/>
      <c r="D56" s="79"/>
      <c r="E56" s="79"/>
      <c r="F56" s="79"/>
      <c r="G56" s="79" t="s">
        <v>2</v>
      </c>
      <c r="H56" s="79"/>
      <c r="I56" s="79"/>
      <c r="J56" s="79"/>
      <c r="K56" s="79"/>
      <c r="L56" s="79"/>
      <c r="M56" s="79"/>
      <c r="N56" s="79"/>
      <c r="O56" s="79"/>
      <c r="P56" s="79"/>
      <c r="Q56" s="79"/>
      <c r="R56" s="79"/>
      <c r="S56" s="79"/>
      <c r="T56" s="79"/>
      <c r="U56" s="79"/>
      <c r="V56" s="79"/>
      <c r="W56" s="79"/>
    </row>
    <row r="57" spans="1:23" ht="8.25" customHeight="1" x14ac:dyDescent="0.3">
      <c r="A57" s="78"/>
      <c r="B57" s="79"/>
      <c r="C57" s="79"/>
      <c r="D57" s="79"/>
      <c r="E57" s="79"/>
      <c r="F57" s="79"/>
      <c r="G57" s="79"/>
      <c r="H57" s="79"/>
      <c r="I57" s="79"/>
      <c r="J57" s="79"/>
      <c r="K57" s="79"/>
      <c r="L57" s="79"/>
      <c r="M57" s="79"/>
      <c r="N57" s="79"/>
      <c r="O57" s="79"/>
      <c r="P57" s="79"/>
      <c r="Q57" s="79"/>
      <c r="R57" s="79"/>
      <c r="S57" s="79"/>
      <c r="T57" s="79"/>
      <c r="U57" s="79"/>
      <c r="V57" s="79"/>
      <c r="W57" s="79"/>
    </row>
    <row r="58" spans="1:23" x14ac:dyDescent="0.3">
      <c r="A58" s="78"/>
      <c r="B58" s="219" t="s">
        <v>142</v>
      </c>
      <c r="C58" s="339" t="s">
        <v>154</v>
      </c>
      <c r="D58" s="339"/>
      <c r="E58" s="339"/>
      <c r="F58" s="339"/>
      <c r="G58" s="339"/>
      <c r="H58" s="339"/>
      <c r="I58" s="339"/>
      <c r="J58" s="339"/>
      <c r="K58" s="339"/>
      <c r="L58" s="339"/>
      <c r="M58" s="339"/>
      <c r="N58" s="339" t="s">
        <v>155</v>
      </c>
      <c r="O58" s="339"/>
      <c r="P58" s="339"/>
      <c r="Q58" s="339"/>
      <c r="R58" s="339"/>
      <c r="S58" s="339"/>
      <c r="T58" s="339"/>
      <c r="U58" s="339"/>
      <c r="V58" s="339"/>
      <c r="W58" s="339"/>
    </row>
    <row r="59" spans="1:23" x14ac:dyDescent="0.3">
      <c r="A59" s="78"/>
      <c r="B59" s="81">
        <v>1</v>
      </c>
      <c r="C59" s="348" t="str">
        <f>'URAIAN JABATAN'!C56</f>
        <v>Peraturan Perundang-undangan terkait pelaksanaan tugas.</v>
      </c>
      <c r="D59" s="348"/>
      <c r="E59" s="348"/>
      <c r="F59" s="348"/>
      <c r="G59" s="348"/>
      <c r="H59" s="348"/>
      <c r="I59" s="348"/>
      <c r="J59" s="348"/>
      <c r="K59" s="348"/>
      <c r="L59" s="348"/>
      <c r="M59" s="348"/>
      <c r="N59" s="348" t="str">
        <f>'URAIAN JABATAN'!N56</f>
        <v>Pedoman pelaksanaan tugas.</v>
      </c>
      <c r="O59" s="348"/>
      <c r="P59" s="348"/>
      <c r="Q59" s="348"/>
      <c r="R59" s="348"/>
      <c r="S59" s="348"/>
      <c r="T59" s="348"/>
      <c r="U59" s="348"/>
      <c r="V59" s="348"/>
      <c r="W59" s="348"/>
    </row>
    <row r="60" spans="1:23" x14ac:dyDescent="0.3">
      <c r="A60" s="78"/>
      <c r="B60" s="81">
        <v>2</v>
      </c>
      <c r="C60" s="348" t="str">
        <f>'URAIAN JABATAN'!C57</f>
        <v>Petunjuk pelaksanaan dan petunjuk teknis</v>
      </c>
      <c r="D60" s="348"/>
      <c r="E60" s="348"/>
      <c r="F60" s="348"/>
      <c r="G60" s="348"/>
      <c r="H60" s="348"/>
      <c r="I60" s="348"/>
      <c r="J60" s="348"/>
      <c r="K60" s="348"/>
      <c r="L60" s="348"/>
      <c r="M60" s="348"/>
      <c r="N60" s="348" t="str">
        <f>'URAIAN JABATAN'!N57</f>
        <v>Dasar dan acuan dalam pelaksanaan tugas.</v>
      </c>
      <c r="O60" s="348"/>
      <c r="P60" s="348"/>
      <c r="Q60" s="348"/>
      <c r="R60" s="348"/>
      <c r="S60" s="348"/>
      <c r="T60" s="348"/>
      <c r="U60" s="348"/>
      <c r="V60" s="348"/>
      <c r="W60" s="348"/>
    </row>
    <row r="61" spans="1:23" x14ac:dyDescent="0.3">
      <c r="A61" s="78"/>
      <c r="B61" s="81">
        <v>3</v>
      </c>
      <c r="C61" s="348" t="str">
        <f>'URAIAN JABATAN'!C58</f>
        <v>SOP yang terkait dengan pelaksanaan tugas.</v>
      </c>
      <c r="D61" s="348"/>
      <c r="E61" s="348"/>
      <c r="F61" s="348"/>
      <c r="G61" s="348"/>
      <c r="H61" s="348"/>
      <c r="I61" s="348"/>
      <c r="J61" s="348"/>
      <c r="K61" s="348"/>
      <c r="L61" s="348"/>
      <c r="M61" s="348"/>
      <c r="N61" s="348" t="str">
        <f>'URAIAN JABATAN'!N58</f>
        <v>Dasar dan acuan dalam pelaksanaan tugas.</v>
      </c>
      <c r="O61" s="348"/>
      <c r="P61" s="348"/>
      <c r="Q61" s="348"/>
      <c r="R61" s="348"/>
      <c r="S61" s="348"/>
      <c r="T61" s="348"/>
      <c r="U61" s="348"/>
      <c r="V61" s="348"/>
      <c r="W61" s="348"/>
    </row>
    <row r="62" spans="1:23" x14ac:dyDescent="0.3">
      <c r="A62" s="78"/>
      <c r="B62" s="81">
        <v>4</v>
      </c>
      <c r="C62" s="348" t="str">
        <f>'URAIAN JABATAN'!C59</f>
        <v>Disposisi  pimpinan.</v>
      </c>
      <c r="D62" s="348"/>
      <c r="E62" s="348"/>
      <c r="F62" s="348"/>
      <c r="G62" s="348"/>
      <c r="H62" s="348"/>
      <c r="I62" s="348"/>
      <c r="J62" s="348"/>
      <c r="K62" s="348"/>
      <c r="L62" s="348"/>
      <c r="M62" s="348"/>
      <c r="N62" s="348" t="str">
        <f>'URAIAN JABATAN'!N59</f>
        <v>Petunjuk pelaksanaan tugas.</v>
      </c>
      <c r="O62" s="348"/>
      <c r="P62" s="348"/>
      <c r="Q62" s="348"/>
      <c r="R62" s="348"/>
      <c r="S62" s="348"/>
      <c r="T62" s="348"/>
      <c r="U62" s="348"/>
      <c r="V62" s="348"/>
      <c r="W62" s="348"/>
    </row>
    <row r="63" spans="1:23" x14ac:dyDescent="0.3">
      <c r="A63" s="78"/>
      <c r="B63" s="79"/>
      <c r="C63" s="79"/>
      <c r="D63" s="79"/>
      <c r="E63" s="79"/>
      <c r="F63" s="79"/>
      <c r="G63" s="79"/>
      <c r="H63" s="79"/>
      <c r="I63" s="79"/>
      <c r="J63" s="79"/>
      <c r="K63" s="79"/>
      <c r="L63" s="79"/>
      <c r="M63" s="79"/>
      <c r="N63" s="79"/>
      <c r="O63" s="79"/>
      <c r="P63" s="79"/>
      <c r="Q63" s="79"/>
      <c r="R63" s="79"/>
      <c r="S63" s="79"/>
      <c r="T63" s="79"/>
      <c r="U63" s="79"/>
      <c r="V63" s="79"/>
      <c r="W63" s="79"/>
    </row>
    <row r="64" spans="1:23" x14ac:dyDescent="0.3">
      <c r="A64" s="122" t="s">
        <v>166</v>
      </c>
      <c r="B64" s="123" t="s">
        <v>312</v>
      </c>
      <c r="C64" s="79"/>
      <c r="D64" s="79"/>
      <c r="E64" s="79"/>
      <c r="F64" s="79"/>
      <c r="G64" s="79" t="s">
        <v>2</v>
      </c>
      <c r="H64" s="79"/>
      <c r="I64" s="79"/>
      <c r="J64" s="79"/>
      <c r="K64" s="79"/>
      <c r="L64" s="79"/>
      <c r="M64" s="79"/>
      <c r="N64" s="79"/>
      <c r="O64" s="79"/>
      <c r="P64" s="79"/>
      <c r="Q64" s="79"/>
      <c r="R64" s="79"/>
      <c r="S64" s="79"/>
      <c r="T64" s="79"/>
      <c r="U64" s="79"/>
      <c r="V64" s="79"/>
      <c r="W64" s="79"/>
    </row>
    <row r="65" spans="1:26" ht="6.75" customHeight="1" x14ac:dyDescent="0.3">
      <c r="A65" s="78"/>
      <c r="B65" s="79"/>
      <c r="C65" s="79"/>
      <c r="D65" s="79"/>
      <c r="E65" s="79"/>
      <c r="F65" s="79"/>
      <c r="G65" s="79"/>
      <c r="H65" s="79"/>
      <c r="I65" s="79"/>
      <c r="J65" s="79"/>
      <c r="K65" s="79"/>
      <c r="L65" s="79"/>
      <c r="M65" s="79"/>
      <c r="N65" s="79"/>
      <c r="O65" s="79"/>
      <c r="P65" s="79"/>
      <c r="Q65" s="79"/>
      <c r="R65" s="79"/>
      <c r="S65" s="79"/>
      <c r="T65" s="79"/>
      <c r="U65" s="79"/>
      <c r="V65" s="79"/>
      <c r="W65" s="79"/>
      <c r="X65" s="8"/>
      <c r="Y65" s="8"/>
      <c r="Z65" s="8"/>
    </row>
    <row r="66" spans="1:26" ht="26.4" customHeight="1" x14ac:dyDescent="0.3">
      <c r="A66" s="78"/>
      <c r="B66" s="118" t="s">
        <v>133</v>
      </c>
      <c r="C66" s="329" t="str">
        <f>'URAIAN JABATAN'!C75</f>
        <v>Keakuratan dan kelengkapan Laporan kegiatan penatausahaan surat dan dokumen dalam lingkup tugas perencanaan, evaluasi, dan pelaporan</v>
      </c>
      <c r="D66" s="329"/>
      <c r="E66" s="329"/>
      <c r="F66" s="329"/>
      <c r="G66" s="329"/>
      <c r="H66" s="329"/>
      <c r="I66" s="329"/>
      <c r="J66" s="329"/>
      <c r="K66" s="329"/>
      <c r="L66" s="329"/>
      <c r="M66" s="329"/>
      <c r="N66" s="329"/>
      <c r="O66" s="329"/>
      <c r="P66" s="329"/>
      <c r="Q66" s="329"/>
      <c r="R66" s="329"/>
      <c r="S66" s="329"/>
      <c r="T66" s="329"/>
      <c r="U66" s="329"/>
      <c r="V66" s="329"/>
      <c r="W66" s="329"/>
      <c r="X66" s="8"/>
      <c r="Y66" s="8"/>
      <c r="Z66" s="8"/>
    </row>
    <row r="67" spans="1:26" ht="26.4" customHeight="1" x14ac:dyDescent="0.3">
      <c r="A67" s="78"/>
      <c r="B67" s="118" t="s">
        <v>134</v>
      </c>
      <c r="C67" s="329" t="str">
        <f>'URAIAN JABATAN'!C76</f>
        <v>Keakuratan dan kelengkapan Dokumen dan surat dalam lingkup tugas perencanaan, evaluasi, dan pelaporan</v>
      </c>
      <c r="D67" s="329"/>
      <c r="E67" s="329"/>
      <c r="F67" s="329"/>
      <c r="G67" s="329"/>
      <c r="H67" s="329"/>
      <c r="I67" s="329"/>
      <c r="J67" s="329"/>
      <c r="K67" s="329"/>
      <c r="L67" s="329"/>
      <c r="M67" s="329"/>
      <c r="N67" s="329"/>
      <c r="O67" s="329"/>
      <c r="P67" s="329"/>
      <c r="Q67" s="329"/>
      <c r="R67" s="329"/>
      <c r="S67" s="329"/>
      <c r="T67" s="329"/>
      <c r="U67" s="329"/>
      <c r="V67" s="329"/>
      <c r="W67" s="329"/>
      <c r="X67" s="8"/>
      <c r="Y67" s="8"/>
      <c r="Z67" s="8"/>
    </row>
    <row r="68" spans="1:26" ht="26.4" customHeight="1" x14ac:dyDescent="0.3">
      <c r="A68" s="78"/>
      <c r="B68" s="118" t="s">
        <v>135</v>
      </c>
      <c r="C68" s="329" t="str">
        <f>'URAIAN JABATAN'!C77</f>
        <v>Keakuratan dan kelengkapan Arsip surat dan dokumen dalam lingkup tugas perencanaan, evaluasi, dan pelaporan</v>
      </c>
      <c r="D68" s="329"/>
      <c r="E68" s="329"/>
      <c r="F68" s="329"/>
      <c r="G68" s="329"/>
      <c r="H68" s="329"/>
      <c r="I68" s="329"/>
      <c r="J68" s="329"/>
      <c r="K68" s="329"/>
      <c r="L68" s="329"/>
      <c r="M68" s="329"/>
      <c r="N68" s="329"/>
      <c r="O68" s="329"/>
      <c r="P68" s="329"/>
      <c r="Q68" s="329"/>
      <c r="R68" s="329"/>
      <c r="S68" s="329"/>
      <c r="T68" s="329"/>
      <c r="U68" s="329"/>
      <c r="V68" s="329"/>
      <c r="W68" s="329"/>
      <c r="X68" s="8"/>
      <c r="Y68" s="8"/>
      <c r="Z68" s="8"/>
    </row>
    <row r="69" spans="1:26" ht="26.4" customHeight="1" x14ac:dyDescent="0.3">
      <c r="A69" s="78"/>
      <c r="B69" s="118" t="s">
        <v>136</v>
      </c>
      <c r="C69" s="329" t="str">
        <f>'URAIAN JABATAN'!C78</f>
        <v>Keakuratan dan kelengkapan Laporan kegiatan pelayanan publik dalam lingkup tugas perencanaan, evaluasi, dan pelaporan</v>
      </c>
      <c r="D69" s="329"/>
      <c r="E69" s="329"/>
      <c r="F69" s="329"/>
      <c r="G69" s="329"/>
      <c r="H69" s="329"/>
      <c r="I69" s="329"/>
      <c r="J69" s="329"/>
      <c r="K69" s="329"/>
      <c r="L69" s="329"/>
      <c r="M69" s="329"/>
      <c r="N69" s="329"/>
      <c r="O69" s="329"/>
      <c r="P69" s="329"/>
      <c r="Q69" s="329"/>
      <c r="R69" s="329"/>
      <c r="S69" s="329"/>
      <c r="T69" s="329"/>
      <c r="U69" s="329"/>
      <c r="V69" s="329"/>
      <c r="W69" s="329"/>
      <c r="X69" s="8"/>
      <c r="Y69" s="8"/>
      <c r="Z69" s="8"/>
    </row>
    <row r="70" spans="1:26" ht="16.2" customHeight="1" x14ac:dyDescent="0.3">
      <c r="A70" s="78"/>
      <c r="B70" s="118" t="s">
        <v>137</v>
      </c>
      <c r="C70" s="329" t="str">
        <f>'URAIAN JABATAN'!C79</f>
        <v>Kelancaran pelaksanaan kegiatan serta keakuratan dan kelengkapan dokumen, bahan, dan perlengkapan kegiatan tugas dan fungsi unit organisasi</v>
      </c>
      <c r="D70" s="329"/>
      <c r="E70" s="329"/>
      <c r="F70" s="329"/>
      <c r="G70" s="329"/>
      <c r="H70" s="329"/>
      <c r="I70" s="329"/>
      <c r="J70" s="329"/>
      <c r="K70" s="329"/>
      <c r="L70" s="329"/>
      <c r="M70" s="329"/>
      <c r="N70" s="329"/>
      <c r="O70" s="329"/>
      <c r="P70" s="329"/>
      <c r="Q70" s="329"/>
      <c r="R70" s="329"/>
      <c r="S70" s="329"/>
      <c r="T70" s="329"/>
      <c r="U70" s="329"/>
      <c r="V70" s="329"/>
      <c r="W70" s="329"/>
      <c r="X70" s="8"/>
      <c r="Y70" s="8"/>
      <c r="Z70" s="8"/>
    </row>
    <row r="71" spans="1:26" ht="16.2" customHeight="1" x14ac:dyDescent="0.3">
      <c r="A71" s="78"/>
      <c r="B71" s="118" t="s">
        <v>138</v>
      </c>
      <c r="C71" s="329" t="str">
        <f>'URAIAN JABATAN'!C80</f>
        <v>Keakuratan dan kelengkapan laporan bulanan pelaksanaan tugas dan kegiatan</v>
      </c>
      <c r="D71" s="329"/>
      <c r="E71" s="329"/>
      <c r="F71" s="329"/>
      <c r="G71" s="329"/>
      <c r="H71" s="329"/>
      <c r="I71" s="329"/>
      <c r="J71" s="329"/>
      <c r="K71" s="329"/>
      <c r="L71" s="329"/>
      <c r="M71" s="329"/>
      <c r="N71" s="329"/>
      <c r="O71" s="329"/>
      <c r="P71" s="329"/>
      <c r="Q71" s="329"/>
      <c r="R71" s="329"/>
      <c r="S71" s="329"/>
      <c r="T71" s="329"/>
      <c r="U71" s="329"/>
      <c r="V71" s="329"/>
      <c r="W71" s="329"/>
      <c r="X71" s="8"/>
      <c r="Y71" s="8"/>
      <c r="Z71" s="8"/>
    </row>
    <row r="72" spans="1:26" ht="16.2" customHeight="1" x14ac:dyDescent="0.3">
      <c r="A72" s="78"/>
      <c r="B72" s="118" t="s">
        <v>139</v>
      </c>
      <c r="C72" s="329" t="str">
        <f>'URAIAN JABATAN'!C81</f>
        <v>Keakuratan dan kelengkapan laporan tugas tambahan/kedinasan lainnya</v>
      </c>
      <c r="D72" s="329"/>
      <c r="E72" s="329"/>
      <c r="F72" s="329"/>
      <c r="G72" s="329"/>
      <c r="H72" s="329"/>
      <c r="I72" s="329"/>
      <c r="J72" s="329"/>
      <c r="K72" s="329"/>
      <c r="L72" s="329"/>
      <c r="M72" s="329"/>
      <c r="N72" s="329"/>
      <c r="O72" s="329"/>
      <c r="P72" s="329"/>
      <c r="Q72" s="329"/>
      <c r="R72" s="329"/>
      <c r="S72" s="329"/>
      <c r="T72" s="329"/>
      <c r="U72" s="329"/>
      <c r="V72" s="329"/>
      <c r="W72" s="329"/>
      <c r="X72" s="8"/>
      <c r="Y72" s="8"/>
      <c r="Z72" s="8"/>
    </row>
    <row r="73" spans="1:26" ht="14.4" customHeight="1" x14ac:dyDescent="0.3">
      <c r="A73" s="78"/>
      <c r="B73" s="79"/>
      <c r="C73" s="79"/>
      <c r="D73" s="79"/>
      <c r="E73" s="79"/>
      <c r="F73" s="79"/>
      <c r="G73" s="79"/>
      <c r="H73" s="79"/>
      <c r="I73" s="79"/>
      <c r="J73" s="79"/>
      <c r="K73" s="79"/>
      <c r="L73" s="79"/>
      <c r="M73" s="79"/>
      <c r="N73" s="79"/>
      <c r="O73" s="79"/>
      <c r="P73" s="79"/>
      <c r="Q73" s="79"/>
      <c r="R73" s="79"/>
      <c r="S73" s="79"/>
      <c r="T73" s="79"/>
      <c r="U73" s="79"/>
      <c r="V73" s="79"/>
      <c r="W73" s="79"/>
      <c r="X73" s="8"/>
      <c r="Y73" s="8"/>
      <c r="Z73" s="8"/>
    </row>
    <row r="74" spans="1:26" ht="14.4" customHeight="1" x14ac:dyDescent="0.3">
      <c r="A74" s="122" t="s">
        <v>168</v>
      </c>
      <c r="B74" s="123" t="s">
        <v>510</v>
      </c>
      <c r="C74" s="79"/>
      <c r="D74" s="79"/>
      <c r="E74" s="79" t="s">
        <v>2</v>
      </c>
      <c r="F74" s="79"/>
      <c r="G74" s="79"/>
      <c r="H74" s="79"/>
      <c r="I74" s="79"/>
      <c r="J74" s="79"/>
      <c r="K74" s="79"/>
      <c r="L74" s="79"/>
      <c r="M74" s="79"/>
      <c r="N74" s="79"/>
      <c r="O74" s="79"/>
      <c r="P74" s="79"/>
      <c r="Q74" s="79"/>
      <c r="R74" s="79"/>
      <c r="S74" s="79"/>
      <c r="T74" s="79"/>
      <c r="U74" s="79"/>
      <c r="V74" s="79"/>
      <c r="W74" s="79"/>
      <c r="X74" s="8"/>
      <c r="Y74" s="8"/>
      <c r="Z74" s="8"/>
    </row>
    <row r="75" spans="1:26" ht="7.5" customHeight="1" x14ac:dyDescent="0.3">
      <c r="A75" s="78"/>
      <c r="B75" s="79"/>
      <c r="C75" s="79"/>
      <c r="D75" s="79"/>
      <c r="E75" s="79"/>
      <c r="F75" s="79"/>
      <c r="G75" s="79"/>
      <c r="H75" s="79"/>
      <c r="I75" s="79"/>
      <c r="J75" s="79"/>
      <c r="K75" s="79"/>
      <c r="L75" s="79"/>
      <c r="M75" s="79"/>
      <c r="N75" s="79"/>
      <c r="O75" s="79"/>
      <c r="P75" s="79"/>
      <c r="Q75" s="79"/>
      <c r="R75" s="79"/>
      <c r="S75" s="79"/>
      <c r="T75" s="79"/>
      <c r="U75" s="79"/>
      <c r="V75" s="79"/>
      <c r="W75" s="79"/>
      <c r="X75" s="8"/>
      <c r="Y75" s="8"/>
      <c r="Z75" s="8"/>
    </row>
    <row r="76" spans="1:26" ht="18" customHeight="1" x14ac:dyDescent="0.3">
      <c r="A76" s="78"/>
      <c r="B76" s="118" t="s">
        <v>133</v>
      </c>
      <c r="C76" s="329" t="str">
        <f>'URAIAN JABATAN'!C85</f>
        <v>Menentukan teknis pelaksanaan tugas dan penyusunan laporan terkait bidang tugas.</v>
      </c>
      <c r="D76" s="329"/>
      <c r="E76" s="329"/>
      <c r="F76" s="329"/>
      <c r="G76" s="329"/>
      <c r="H76" s="329"/>
      <c r="I76" s="329"/>
      <c r="J76" s="329"/>
      <c r="K76" s="329"/>
      <c r="L76" s="329"/>
      <c r="M76" s="329"/>
      <c r="N76" s="329"/>
      <c r="O76" s="329"/>
      <c r="P76" s="329"/>
      <c r="Q76" s="329"/>
      <c r="R76" s="329"/>
      <c r="S76" s="329"/>
      <c r="T76" s="329"/>
      <c r="U76" s="329"/>
      <c r="V76" s="329"/>
      <c r="W76" s="329"/>
      <c r="X76" s="8"/>
      <c r="Y76" s="8"/>
      <c r="Z76" s="8"/>
    </row>
    <row r="77" spans="1:26" ht="18" customHeight="1" x14ac:dyDescent="0.3">
      <c r="A77" s="78"/>
      <c r="B77" s="118" t="s">
        <v>134</v>
      </c>
      <c r="C77" s="329" t="str">
        <f>'URAIAN JABATAN'!C86</f>
        <v>Melakukan verifikasi terhadap data dan dokumen yang terkait bidang tugas.</v>
      </c>
      <c r="D77" s="329"/>
      <c r="E77" s="329"/>
      <c r="F77" s="329"/>
      <c r="G77" s="329"/>
      <c r="H77" s="329"/>
      <c r="I77" s="329"/>
      <c r="J77" s="329"/>
      <c r="K77" s="329"/>
      <c r="L77" s="329"/>
      <c r="M77" s="329"/>
      <c r="N77" s="329"/>
      <c r="O77" s="329"/>
      <c r="P77" s="329"/>
      <c r="Q77" s="329"/>
      <c r="R77" s="329"/>
      <c r="S77" s="329"/>
      <c r="T77" s="329"/>
      <c r="U77" s="329"/>
      <c r="V77" s="329"/>
      <c r="W77" s="329"/>
      <c r="X77" s="8"/>
      <c r="Y77" s="8"/>
      <c r="Z77" s="8"/>
    </row>
    <row r="78" spans="1:26" ht="18" customHeight="1" x14ac:dyDescent="0.3">
      <c r="A78" s="78"/>
      <c r="B78" s="118" t="s">
        <v>135</v>
      </c>
      <c r="C78" s="329" t="str">
        <f>'URAIAN JABATAN'!C87</f>
        <v>Menolak pelaksanaan tugas yang tidak sesuai dengan peraturan perundang-undangan.</v>
      </c>
      <c r="D78" s="329"/>
      <c r="E78" s="329"/>
      <c r="F78" s="329"/>
      <c r="G78" s="329"/>
      <c r="H78" s="329"/>
      <c r="I78" s="329"/>
      <c r="J78" s="329"/>
      <c r="K78" s="329"/>
      <c r="L78" s="329"/>
      <c r="M78" s="329"/>
      <c r="N78" s="329"/>
      <c r="O78" s="329"/>
      <c r="P78" s="329"/>
      <c r="Q78" s="329"/>
      <c r="R78" s="329"/>
      <c r="S78" s="329"/>
      <c r="T78" s="329"/>
      <c r="U78" s="329"/>
      <c r="V78" s="329"/>
      <c r="W78" s="329"/>
      <c r="X78" s="8"/>
      <c r="Y78" s="8"/>
      <c r="Z78" s="8"/>
    </row>
    <row r="79" spans="1:26" x14ac:dyDescent="0.3">
      <c r="A79" s="78"/>
      <c r="B79" s="79"/>
      <c r="C79" s="79"/>
      <c r="D79" s="79"/>
      <c r="E79" s="79"/>
      <c r="F79" s="79"/>
      <c r="G79" s="79"/>
      <c r="H79" s="79"/>
      <c r="I79" s="79"/>
      <c r="J79" s="79"/>
      <c r="K79" s="79"/>
      <c r="L79" s="79"/>
      <c r="M79" s="79"/>
      <c r="N79" s="79"/>
      <c r="O79" s="79"/>
      <c r="P79" s="79"/>
      <c r="Q79" s="79"/>
      <c r="R79" s="79"/>
      <c r="S79" s="79"/>
      <c r="T79" s="79"/>
      <c r="U79" s="79"/>
      <c r="V79" s="79"/>
      <c r="W79" s="79"/>
    </row>
    <row r="80" spans="1:26" x14ac:dyDescent="0.3">
      <c r="A80" s="122" t="s">
        <v>173</v>
      </c>
      <c r="B80" s="123" t="s">
        <v>511</v>
      </c>
      <c r="C80" s="79"/>
      <c r="D80" s="79"/>
      <c r="E80" s="79"/>
      <c r="F80" s="79"/>
      <c r="G80" s="79" t="s">
        <v>2</v>
      </c>
      <c r="H80" s="79"/>
      <c r="I80" s="79"/>
      <c r="J80" s="79"/>
      <c r="K80" s="79"/>
      <c r="L80" s="79"/>
      <c r="M80" s="79"/>
      <c r="N80" s="79"/>
      <c r="O80" s="79"/>
      <c r="P80" s="79"/>
      <c r="Q80" s="79"/>
      <c r="R80" s="79"/>
      <c r="S80" s="79"/>
      <c r="T80" s="79"/>
      <c r="U80" s="79"/>
      <c r="V80" s="79"/>
      <c r="W80" s="79"/>
    </row>
    <row r="81" spans="1:23" ht="8.25" customHeight="1" x14ac:dyDescent="0.3">
      <c r="A81" s="78"/>
      <c r="B81" s="79"/>
      <c r="C81" s="79"/>
      <c r="D81" s="79"/>
      <c r="E81" s="79"/>
      <c r="F81" s="79"/>
      <c r="G81" s="79"/>
      <c r="H81" s="79"/>
      <c r="I81" s="79"/>
      <c r="J81" s="79"/>
      <c r="K81" s="79"/>
      <c r="L81" s="79"/>
      <c r="M81" s="79"/>
      <c r="N81" s="79"/>
      <c r="O81" s="79"/>
      <c r="P81" s="79"/>
      <c r="Q81" s="79"/>
      <c r="R81" s="79"/>
      <c r="S81" s="79"/>
      <c r="T81" s="79"/>
      <c r="U81" s="79"/>
      <c r="V81" s="79"/>
      <c r="W81" s="79"/>
    </row>
    <row r="82" spans="1:23" x14ac:dyDescent="0.3">
      <c r="A82" s="78"/>
      <c r="B82" s="219" t="s">
        <v>142</v>
      </c>
      <c r="C82" s="339" t="s">
        <v>175</v>
      </c>
      <c r="D82" s="339"/>
      <c r="E82" s="339"/>
      <c r="F82" s="339"/>
      <c r="G82" s="339"/>
      <c r="H82" s="339"/>
      <c r="I82" s="339"/>
      <c r="J82" s="339" t="s">
        <v>176</v>
      </c>
      <c r="K82" s="339"/>
      <c r="L82" s="339"/>
      <c r="M82" s="339"/>
      <c r="N82" s="339"/>
      <c r="O82" s="339"/>
      <c r="P82" s="339"/>
      <c r="Q82" s="339" t="s">
        <v>177</v>
      </c>
      <c r="R82" s="339"/>
      <c r="S82" s="339"/>
      <c r="T82" s="339"/>
      <c r="U82" s="339"/>
      <c r="V82" s="339"/>
      <c r="W82" s="339"/>
    </row>
    <row r="83" spans="1:23" ht="27.6" customHeight="1" x14ac:dyDescent="0.3">
      <c r="A83" s="78"/>
      <c r="B83" s="81">
        <v>1</v>
      </c>
      <c r="C83" s="336" t="str">
        <f>'URAIAN JABATAN'!C92</f>
        <v>Sekretaris Dinas Penanaman Modal dan Pelayanan Terpadu Satu Pintu</v>
      </c>
      <c r="D83" s="336"/>
      <c r="E83" s="336"/>
      <c r="F83" s="336"/>
      <c r="G83" s="336"/>
      <c r="H83" s="336"/>
      <c r="I83" s="336"/>
      <c r="J83" s="336" t="str">
        <f>'URAIAN JABATAN'!J92</f>
        <v>Sekretariat Dinas Penanaman Modal dan Pelayanan Terpadu Satu Pintu</v>
      </c>
      <c r="K83" s="336"/>
      <c r="L83" s="336"/>
      <c r="M83" s="336"/>
      <c r="N83" s="336"/>
      <c r="O83" s="336"/>
      <c r="P83" s="336"/>
      <c r="Q83" s="336" t="str">
        <f>'URAIAN JABATAN'!Q92</f>
        <v>Menerima perintah, konsultasi dan laporan.</v>
      </c>
      <c r="R83" s="336"/>
      <c r="S83" s="336"/>
      <c r="T83" s="336"/>
      <c r="U83" s="336"/>
      <c r="V83" s="336"/>
      <c r="W83" s="336"/>
    </row>
    <row r="84" spans="1:23" ht="27.6" customHeight="1" x14ac:dyDescent="0.3">
      <c r="A84" s="78"/>
      <c r="B84" s="81">
        <v>2</v>
      </c>
      <c r="C84" s="357" t="str">
        <f>'URAIAN JABATAN'!C93</f>
        <v>Jabatan Fungsional dan Pelaksana</v>
      </c>
      <c r="D84" s="358"/>
      <c r="E84" s="358"/>
      <c r="F84" s="358"/>
      <c r="G84" s="358"/>
      <c r="H84" s="358"/>
      <c r="I84" s="359"/>
      <c r="J84" s="336" t="str">
        <f>'URAIAN JABATAN'!J93</f>
        <v>Sekretariat Dinas Penanaman Modal dan Pelayanan Terpadu Satu Pintu</v>
      </c>
      <c r="K84" s="336"/>
      <c r="L84" s="336"/>
      <c r="M84" s="336"/>
      <c r="N84" s="336"/>
      <c r="O84" s="336"/>
      <c r="P84" s="336"/>
      <c r="Q84" s="336" t="str">
        <f>'URAIAN JABATAN'!Q93</f>
        <v>Koordinasi pelaksanaan tugas.</v>
      </c>
      <c r="R84" s="336"/>
      <c r="S84" s="336"/>
      <c r="T84" s="336"/>
      <c r="U84" s="336"/>
      <c r="V84" s="336"/>
      <c r="W84" s="336"/>
    </row>
    <row r="85" spans="1:23" x14ac:dyDescent="0.3">
      <c r="A85" s="78"/>
      <c r="B85" s="79"/>
      <c r="C85" s="79"/>
      <c r="D85" s="79"/>
      <c r="E85" s="79"/>
      <c r="F85" s="79"/>
      <c r="G85" s="79"/>
      <c r="H85" s="79"/>
      <c r="I85" s="79"/>
      <c r="J85" s="79"/>
      <c r="K85" s="79"/>
      <c r="L85" s="79"/>
      <c r="M85" s="79"/>
      <c r="N85" s="79"/>
      <c r="O85" s="79"/>
      <c r="P85" s="79"/>
      <c r="Q85" s="79"/>
      <c r="R85" s="79"/>
      <c r="S85" s="79"/>
      <c r="T85" s="79"/>
      <c r="U85" s="79"/>
      <c r="V85" s="79"/>
      <c r="W85" s="79"/>
    </row>
    <row r="86" spans="1:23" x14ac:dyDescent="0.3">
      <c r="A86" s="122" t="s">
        <v>181</v>
      </c>
      <c r="B86" s="123" t="s">
        <v>512</v>
      </c>
      <c r="C86" s="79"/>
      <c r="D86" s="79"/>
      <c r="E86" s="79"/>
      <c r="F86" s="79"/>
      <c r="G86" s="79"/>
      <c r="H86" s="79"/>
      <c r="I86" s="79" t="s">
        <v>2</v>
      </c>
      <c r="J86" s="79"/>
      <c r="K86" s="79"/>
      <c r="L86" s="79"/>
      <c r="M86" s="79"/>
      <c r="N86" s="79"/>
      <c r="O86" s="79"/>
      <c r="P86" s="79"/>
      <c r="Q86" s="79"/>
      <c r="R86" s="79"/>
      <c r="S86" s="79"/>
      <c r="T86" s="79"/>
      <c r="U86" s="79"/>
      <c r="V86" s="79"/>
      <c r="W86" s="79"/>
    </row>
    <row r="87" spans="1:23" x14ac:dyDescent="0.3">
      <c r="A87" s="78"/>
      <c r="B87" s="79"/>
      <c r="C87" s="79"/>
      <c r="D87" s="79"/>
      <c r="E87" s="79"/>
      <c r="F87" s="79"/>
      <c r="G87" s="79"/>
      <c r="H87" s="79"/>
      <c r="I87" s="79"/>
      <c r="J87" s="79"/>
      <c r="K87" s="79"/>
      <c r="L87" s="79"/>
      <c r="M87" s="79"/>
      <c r="N87" s="79"/>
      <c r="O87" s="79"/>
      <c r="P87" s="79"/>
      <c r="Q87" s="79"/>
      <c r="R87" s="79"/>
      <c r="S87" s="79"/>
      <c r="T87" s="79"/>
      <c r="U87" s="79"/>
      <c r="V87" s="79"/>
      <c r="W87" s="79"/>
    </row>
    <row r="88" spans="1:23" x14ac:dyDescent="0.3">
      <c r="A88" s="78"/>
      <c r="B88" s="219" t="s">
        <v>142</v>
      </c>
      <c r="C88" s="339" t="s">
        <v>183</v>
      </c>
      <c r="D88" s="339"/>
      <c r="E88" s="339"/>
      <c r="F88" s="339"/>
      <c r="G88" s="339"/>
      <c r="H88" s="339"/>
      <c r="I88" s="339"/>
      <c r="J88" s="339"/>
      <c r="K88" s="339"/>
      <c r="L88" s="339" t="s">
        <v>184</v>
      </c>
      <c r="M88" s="339"/>
      <c r="N88" s="339"/>
      <c r="O88" s="339"/>
      <c r="P88" s="339"/>
      <c r="Q88" s="339"/>
      <c r="R88" s="339"/>
      <c r="S88" s="339"/>
      <c r="T88" s="339"/>
      <c r="U88" s="339"/>
      <c r="V88" s="339"/>
      <c r="W88" s="339"/>
    </row>
    <row r="89" spans="1:23" x14ac:dyDescent="0.3">
      <c r="A89" s="78"/>
      <c r="B89" s="82">
        <v>1</v>
      </c>
      <c r="C89" s="356" t="s">
        <v>185</v>
      </c>
      <c r="D89" s="356"/>
      <c r="E89" s="356"/>
      <c r="F89" s="356"/>
      <c r="G89" s="356"/>
      <c r="H89" s="356"/>
      <c r="I89" s="356"/>
      <c r="J89" s="356"/>
      <c r="K89" s="356"/>
      <c r="L89" s="356" t="str">
        <f>'URAIAN JABATAN'!L98</f>
        <v>Dalam ruangan tertutup dan luar ruangan</v>
      </c>
      <c r="M89" s="356"/>
      <c r="N89" s="356"/>
      <c r="O89" s="356"/>
      <c r="P89" s="356"/>
      <c r="Q89" s="356"/>
      <c r="R89" s="356"/>
      <c r="S89" s="356"/>
      <c r="T89" s="356"/>
      <c r="U89" s="356"/>
      <c r="V89" s="356"/>
      <c r="W89" s="356"/>
    </row>
    <row r="90" spans="1:23" x14ac:dyDescent="0.3">
      <c r="A90" s="78"/>
      <c r="B90" s="82">
        <v>2</v>
      </c>
      <c r="C90" s="356" t="s">
        <v>187</v>
      </c>
      <c r="D90" s="356"/>
      <c r="E90" s="356"/>
      <c r="F90" s="356"/>
      <c r="G90" s="356"/>
      <c r="H90" s="356"/>
      <c r="I90" s="356"/>
      <c r="J90" s="356"/>
      <c r="K90" s="356"/>
      <c r="L90" s="356" t="str">
        <f>'URAIAN JABATAN'!L99</f>
        <v>Sejuk dengan perubahan</v>
      </c>
      <c r="M90" s="356"/>
      <c r="N90" s="356"/>
      <c r="O90" s="356"/>
      <c r="P90" s="356"/>
      <c r="Q90" s="356"/>
      <c r="R90" s="356"/>
      <c r="S90" s="356"/>
      <c r="T90" s="356"/>
      <c r="U90" s="356"/>
      <c r="V90" s="356"/>
      <c r="W90" s="356"/>
    </row>
    <row r="91" spans="1:23" x14ac:dyDescent="0.3">
      <c r="A91" s="78"/>
      <c r="B91" s="82">
        <v>3</v>
      </c>
      <c r="C91" s="356" t="s">
        <v>189</v>
      </c>
      <c r="D91" s="356"/>
      <c r="E91" s="356"/>
      <c r="F91" s="356"/>
      <c r="G91" s="356"/>
      <c r="H91" s="356"/>
      <c r="I91" s="356"/>
      <c r="J91" s="356"/>
      <c r="K91" s="356"/>
      <c r="L91" s="356" t="str">
        <f>'URAIAN JABATAN'!L100</f>
        <v>Kering</v>
      </c>
      <c r="M91" s="356"/>
      <c r="N91" s="356"/>
      <c r="O91" s="356"/>
      <c r="P91" s="356"/>
      <c r="Q91" s="356"/>
      <c r="R91" s="356"/>
      <c r="S91" s="356"/>
      <c r="T91" s="356"/>
      <c r="U91" s="356"/>
      <c r="V91" s="356"/>
      <c r="W91" s="356"/>
    </row>
    <row r="92" spans="1:23" x14ac:dyDescent="0.3">
      <c r="A92" s="78"/>
      <c r="B92" s="82">
        <v>4</v>
      </c>
      <c r="C92" s="356" t="s">
        <v>191</v>
      </c>
      <c r="D92" s="356"/>
      <c r="E92" s="356"/>
      <c r="F92" s="356"/>
      <c r="G92" s="356"/>
      <c r="H92" s="356"/>
      <c r="I92" s="356"/>
      <c r="J92" s="356"/>
      <c r="K92" s="356"/>
      <c r="L92" s="356" t="str">
        <f>'URAIAN JABATAN'!L101</f>
        <v>Cukup</v>
      </c>
      <c r="M92" s="356"/>
      <c r="N92" s="356"/>
      <c r="O92" s="356"/>
      <c r="P92" s="356"/>
      <c r="Q92" s="356"/>
      <c r="R92" s="356"/>
      <c r="S92" s="356"/>
      <c r="T92" s="356"/>
      <c r="U92" s="356"/>
      <c r="V92" s="356"/>
      <c r="W92" s="356"/>
    </row>
    <row r="93" spans="1:23" x14ac:dyDescent="0.3">
      <c r="A93" s="78"/>
      <c r="B93" s="82">
        <v>5</v>
      </c>
      <c r="C93" s="356" t="s">
        <v>193</v>
      </c>
      <c r="D93" s="356"/>
      <c r="E93" s="356"/>
      <c r="F93" s="356"/>
      <c r="G93" s="356"/>
      <c r="H93" s="356"/>
      <c r="I93" s="356"/>
      <c r="J93" s="356"/>
      <c r="K93" s="356"/>
      <c r="L93" s="356" t="str">
        <f>'URAIAN JABATAN'!L102</f>
        <v>Rendah, rata, dan strategis</v>
      </c>
      <c r="M93" s="356"/>
      <c r="N93" s="356"/>
      <c r="O93" s="356"/>
      <c r="P93" s="356"/>
      <c r="Q93" s="356"/>
      <c r="R93" s="356"/>
      <c r="S93" s="356"/>
      <c r="T93" s="356"/>
      <c r="U93" s="356"/>
      <c r="V93" s="356"/>
      <c r="W93" s="356"/>
    </row>
    <row r="94" spans="1:23" x14ac:dyDescent="0.3">
      <c r="A94" s="78"/>
      <c r="B94" s="82">
        <v>6</v>
      </c>
      <c r="C94" s="356" t="s">
        <v>195</v>
      </c>
      <c r="D94" s="356"/>
      <c r="E94" s="356"/>
      <c r="F94" s="356"/>
      <c r="G94" s="356"/>
      <c r="H94" s="356"/>
      <c r="I94" s="356"/>
      <c r="J94" s="356"/>
      <c r="K94" s="356"/>
      <c r="L94" s="356" t="str">
        <f>'URAIAN JABATAN'!L103</f>
        <v>Terang</v>
      </c>
      <c r="M94" s="356"/>
      <c r="N94" s="356"/>
      <c r="O94" s="356"/>
      <c r="P94" s="356"/>
      <c r="Q94" s="356"/>
      <c r="R94" s="356"/>
      <c r="S94" s="356"/>
      <c r="T94" s="356"/>
      <c r="U94" s="356"/>
      <c r="V94" s="356"/>
      <c r="W94" s="356"/>
    </row>
    <row r="95" spans="1:23" x14ac:dyDescent="0.3">
      <c r="A95" s="78"/>
      <c r="B95" s="82">
        <v>7</v>
      </c>
      <c r="C95" s="356" t="s">
        <v>197</v>
      </c>
      <c r="D95" s="356"/>
      <c r="E95" s="356"/>
      <c r="F95" s="356"/>
      <c r="G95" s="356"/>
      <c r="H95" s="356"/>
      <c r="I95" s="356"/>
      <c r="J95" s="356"/>
      <c r="K95" s="356"/>
      <c r="L95" s="356" t="str">
        <f>'URAIAN JABATAN'!L104</f>
        <v>Tenang</v>
      </c>
      <c r="M95" s="356"/>
      <c r="N95" s="356"/>
      <c r="O95" s="356"/>
      <c r="P95" s="356"/>
      <c r="Q95" s="356"/>
      <c r="R95" s="356"/>
      <c r="S95" s="356"/>
      <c r="T95" s="356"/>
      <c r="U95" s="356"/>
      <c r="V95" s="356"/>
      <c r="W95" s="356"/>
    </row>
    <row r="96" spans="1:23" x14ac:dyDescent="0.3">
      <c r="A96" s="78"/>
      <c r="B96" s="82">
        <v>8</v>
      </c>
      <c r="C96" s="356" t="s">
        <v>199</v>
      </c>
      <c r="D96" s="356"/>
      <c r="E96" s="356"/>
      <c r="F96" s="356"/>
      <c r="G96" s="356"/>
      <c r="H96" s="356"/>
      <c r="I96" s="356"/>
      <c r="J96" s="356"/>
      <c r="K96" s="356"/>
      <c r="L96" s="356" t="str">
        <f>'URAIAN JABATAN'!L105</f>
        <v>Bersih</v>
      </c>
      <c r="M96" s="356"/>
      <c r="N96" s="356"/>
      <c r="O96" s="356"/>
      <c r="P96" s="356"/>
      <c r="Q96" s="356"/>
      <c r="R96" s="356"/>
      <c r="S96" s="356"/>
      <c r="T96" s="356"/>
      <c r="U96" s="356"/>
      <c r="V96" s="356"/>
      <c r="W96" s="356"/>
    </row>
    <row r="97" spans="1:25" x14ac:dyDescent="0.3">
      <c r="A97" s="78"/>
      <c r="B97" s="82">
        <v>9</v>
      </c>
      <c r="C97" s="356" t="s">
        <v>201</v>
      </c>
      <c r="D97" s="356"/>
      <c r="E97" s="356"/>
      <c r="F97" s="356"/>
      <c r="G97" s="356"/>
      <c r="H97" s="356"/>
      <c r="I97" s="356"/>
      <c r="J97" s="356"/>
      <c r="K97" s="356"/>
      <c r="L97" s="356" t="str">
        <f>'URAIAN JABATAN'!L106</f>
        <v>-</v>
      </c>
      <c r="M97" s="356"/>
      <c r="N97" s="356"/>
      <c r="O97" s="356"/>
      <c r="P97" s="356"/>
      <c r="Q97" s="356"/>
      <c r="R97" s="356"/>
      <c r="S97" s="356"/>
      <c r="T97" s="356"/>
      <c r="U97" s="356"/>
      <c r="V97" s="356"/>
      <c r="W97" s="356"/>
    </row>
    <row r="98" spans="1:25" x14ac:dyDescent="0.3">
      <c r="A98" s="78"/>
      <c r="B98" s="79"/>
      <c r="C98" s="79"/>
      <c r="D98" s="79"/>
      <c r="E98" s="79"/>
      <c r="F98" s="79"/>
      <c r="G98" s="79"/>
      <c r="H98" s="79"/>
      <c r="I98" s="79"/>
      <c r="J98" s="79"/>
      <c r="K98" s="79"/>
      <c r="L98" s="79"/>
      <c r="M98" s="79"/>
      <c r="N98" s="79"/>
      <c r="O98" s="79"/>
      <c r="P98" s="79"/>
      <c r="Q98" s="79"/>
      <c r="R98" s="79"/>
      <c r="S98" s="79"/>
      <c r="T98" s="79"/>
      <c r="U98" s="79"/>
      <c r="V98" s="79"/>
      <c r="W98" s="79"/>
    </row>
    <row r="99" spans="1:25" x14ac:dyDescent="0.3">
      <c r="A99" s="122" t="s">
        <v>202</v>
      </c>
      <c r="B99" s="123" t="s">
        <v>513</v>
      </c>
      <c r="C99" s="79"/>
      <c r="D99" s="79"/>
      <c r="E99" s="79"/>
      <c r="F99" s="79" t="s">
        <v>2</v>
      </c>
      <c r="G99" s="79"/>
      <c r="H99" s="79"/>
      <c r="I99" s="79"/>
      <c r="J99" s="79"/>
      <c r="K99" s="79"/>
      <c r="L99" s="79"/>
      <c r="M99" s="79"/>
      <c r="N99" s="79"/>
      <c r="O99" s="79"/>
      <c r="P99" s="79"/>
      <c r="Q99" s="79"/>
      <c r="R99" s="79"/>
      <c r="S99" s="79"/>
      <c r="T99" s="79"/>
      <c r="U99" s="79"/>
      <c r="V99" s="79"/>
      <c r="W99" s="79"/>
    </row>
    <row r="100" spans="1:25" ht="11.4" customHeight="1" x14ac:dyDescent="0.3">
      <c r="A100" s="78"/>
      <c r="B100" s="79"/>
      <c r="C100" s="79"/>
      <c r="D100" s="79"/>
      <c r="E100" s="79"/>
      <c r="F100" s="79"/>
      <c r="G100" s="79"/>
      <c r="H100" s="79"/>
      <c r="I100" s="79"/>
      <c r="J100" s="79"/>
      <c r="K100" s="79"/>
      <c r="L100" s="79"/>
      <c r="M100" s="79"/>
      <c r="N100" s="79"/>
      <c r="O100" s="79"/>
      <c r="P100" s="79"/>
      <c r="Q100" s="79"/>
      <c r="R100" s="79"/>
      <c r="S100" s="79"/>
      <c r="T100" s="79"/>
      <c r="U100" s="79"/>
      <c r="V100" s="79"/>
      <c r="W100" s="79"/>
    </row>
    <row r="101" spans="1:25" x14ac:dyDescent="0.3">
      <c r="A101" s="78"/>
      <c r="B101" s="219" t="s">
        <v>142</v>
      </c>
      <c r="C101" s="339" t="s">
        <v>204</v>
      </c>
      <c r="D101" s="339"/>
      <c r="E101" s="339"/>
      <c r="F101" s="339"/>
      <c r="G101" s="339"/>
      <c r="H101" s="339"/>
      <c r="I101" s="339"/>
      <c r="J101" s="339"/>
      <c r="K101" s="339"/>
      <c r="L101" s="339" t="s">
        <v>205</v>
      </c>
      <c r="M101" s="339"/>
      <c r="N101" s="339"/>
      <c r="O101" s="339"/>
      <c r="P101" s="339"/>
      <c r="Q101" s="339"/>
      <c r="R101" s="339"/>
      <c r="S101" s="339"/>
      <c r="T101" s="339"/>
      <c r="U101" s="339"/>
      <c r="V101" s="339"/>
      <c r="W101" s="339"/>
    </row>
    <row r="102" spans="1:25" x14ac:dyDescent="0.3">
      <c r="A102" s="78"/>
      <c r="B102" s="82">
        <v>1</v>
      </c>
      <c r="C102" s="356" t="str">
        <f>'URAIAN JABATAN'!C111</f>
        <v>Kelelahan</v>
      </c>
      <c r="D102" s="356"/>
      <c r="E102" s="356"/>
      <c r="F102" s="356"/>
      <c r="G102" s="356"/>
      <c r="H102" s="356"/>
      <c r="I102" s="356"/>
      <c r="J102" s="356"/>
      <c r="K102" s="356"/>
      <c r="L102" s="356" t="str">
        <f>'URAIAN JABATAN'!L111</f>
        <v>Beban pelaksanaan tugas</v>
      </c>
      <c r="M102" s="356"/>
      <c r="N102" s="356"/>
      <c r="O102" s="356"/>
      <c r="P102" s="356"/>
      <c r="Q102" s="356"/>
      <c r="R102" s="356"/>
      <c r="S102" s="356"/>
      <c r="T102" s="356"/>
      <c r="U102" s="356"/>
      <c r="V102" s="356"/>
      <c r="W102" s="356"/>
    </row>
    <row r="103" spans="1:25" x14ac:dyDescent="0.3">
      <c r="A103" s="78"/>
      <c r="B103" s="82">
        <v>2</v>
      </c>
      <c r="C103" s="356" t="str">
        <f>'URAIAN JABATAN'!C112</f>
        <v>Kejenuhan</v>
      </c>
      <c r="D103" s="356"/>
      <c r="E103" s="356"/>
      <c r="F103" s="356"/>
      <c r="G103" s="356"/>
      <c r="H103" s="356"/>
      <c r="I103" s="356"/>
      <c r="J103" s="356"/>
      <c r="K103" s="356"/>
      <c r="L103" s="356" t="str">
        <f>'URAIAN JABATAN'!L112</f>
        <v>Rutinitas</v>
      </c>
      <c r="M103" s="356"/>
      <c r="N103" s="356"/>
      <c r="O103" s="356"/>
      <c r="P103" s="356"/>
      <c r="Q103" s="356"/>
      <c r="R103" s="356"/>
      <c r="S103" s="356"/>
      <c r="T103" s="356"/>
      <c r="U103" s="356"/>
      <c r="V103" s="356"/>
      <c r="W103" s="356"/>
    </row>
    <row r="104" spans="1:25" x14ac:dyDescent="0.3">
      <c r="A104" s="78"/>
      <c r="B104" s="82">
        <v>3</v>
      </c>
      <c r="C104" s="356" t="str">
        <f>'URAIAN JABATAN'!C113</f>
        <v>-</v>
      </c>
      <c r="D104" s="356"/>
      <c r="E104" s="356"/>
      <c r="F104" s="356"/>
      <c r="G104" s="356"/>
      <c r="H104" s="356"/>
      <c r="I104" s="356"/>
      <c r="J104" s="356"/>
      <c r="K104" s="356"/>
      <c r="L104" s="356" t="str">
        <f>'URAIAN JABATAN'!L113</f>
        <v>-</v>
      </c>
      <c r="M104" s="356"/>
      <c r="N104" s="356"/>
      <c r="O104" s="356"/>
      <c r="P104" s="356"/>
      <c r="Q104" s="356"/>
      <c r="R104" s="356"/>
      <c r="S104" s="356"/>
      <c r="T104" s="356"/>
      <c r="U104" s="356"/>
      <c r="V104" s="356"/>
      <c r="W104" s="356"/>
    </row>
    <row r="105" spans="1:25" x14ac:dyDescent="0.3">
      <c r="A105" s="78"/>
      <c r="B105" s="78"/>
      <c r="C105" s="126"/>
      <c r="D105" s="126"/>
      <c r="E105" s="126"/>
      <c r="F105" s="126"/>
      <c r="G105" s="126"/>
      <c r="H105" s="126"/>
      <c r="I105" s="126"/>
      <c r="J105" s="126"/>
      <c r="K105" s="126"/>
      <c r="L105" s="126"/>
      <c r="M105" s="126"/>
      <c r="N105" s="126"/>
      <c r="O105" s="126"/>
      <c r="P105" s="126"/>
      <c r="Q105" s="126"/>
      <c r="R105" s="126"/>
      <c r="S105" s="126"/>
      <c r="T105" s="126"/>
      <c r="U105" s="126"/>
      <c r="V105" s="126"/>
      <c r="W105" s="126"/>
    </row>
    <row r="106" spans="1:25" x14ac:dyDescent="0.3">
      <c r="A106" s="122" t="s">
        <v>210</v>
      </c>
      <c r="B106" s="123" t="s">
        <v>514</v>
      </c>
      <c r="C106" s="79"/>
      <c r="D106" s="79"/>
      <c r="E106" s="79"/>
      <c r="F106" s="78"/>
      <c r="G106" s="79" t="s">
        <v>2</v>
      </c>
      <c r="H106" s="117"/>
      <c r="I106" s="79"/>
      <c r="J106" s="79"/>
      <c r="K106" s="79"/>
      <c r="L106" s="79"/>
      <c r="M106" s="79"/>
      <c r="N106" s="79"/>
      <c r="O106" s="79"/>
      <c r="P106" s="79"/>
      <c r="Q106" s="79"/>
      <c r="R106" s="79"/>
      <c r="S106" s="79"/>
      <c r="T106" s="79"/>
      <c r="U106" s="79"/>
      <c r="V106" s="79"/>
      <c r="W106" s="79"/>
    </row>
    <row r="107" spans="1:25" s="12" customFormat="1" ht="14.4" customHeight="1" x14ac:dyDescent="0.3">
      <c r="A107" s="118"/>
      <c r="B107" s="118" t="s">
        <v>133</v>
      </c>
      <c r="C107" s="116" t="s">
        <v>223</v>
      </c>
      <c r="D107" s="116"/>
      <c r="E107" s="116"/>
      <c r="F107" s="116"/>
      <c r="G107" s="116" t="s">
        <v>2</v>
      </c>
      <c r="H107" s="343" t="str">
        <f>'URAIAN JABATAN'!I123</f>
        <v>Administrasi umum, menyusun dokumen, dan menguasai penggunaan bahan kerja.</v>
      </c>
      <c r="I107" s="343"/>
      <c r="J107" s="343"/>
      <c r="K107" s="343"/>
      <c r="L107" s="343"/>
      <c r="M107" s="343"/>
      <c r="N107" s="343"/>
      <c r="O107" s="343"/>
      <c r="P107" s="343"/>
      <c r="Q107" s="343"/>
      <c r="R107" s="343"/>
      <c r="S107" s="343"/>
      <c r="T107" s="343"/>
      <c r="U107" s="343"/>
      <c r="V107" s="343"/>
      <c r="W107" s="343"/>
    </row>
    <row r="108" spans="1:25" s="12" customFormat="1" ht="14.4" customHeight="1" x14ac:dyDescent="0.3">
      <c r="A108" s="118"/>
      <c r="B108" s="118" t="s">
        <v>134</v>
      </c>
      <c r="C108" s="116" t="s">
        <v>225</v>
      </c>
      <c r="D108" s="116"/>
      <c r="E108" s="116"/>
      <c r="F108" s="116"/>
      <c r="G108" s="116" t="s">
        <v>2</v>
      </c>
      <c r="H108" s="121"/>
      <c r="I108" s="116"/>
      <c r="J108" s="116"/>
      <c r="K108" s="116"/>
      <c r="L108" s="116"/>
      <c r="M108" s="116"/>
      <c r="N108" s="116"/>
      <c r="O108" s="116"/>
      <c r="P108" s="116"/>
      <c r="Q108" s="116"/>
      <c r="R108" s="116"/>
      <c r="S108" s="116"/>
      <c r="T108" s="116"/>
      <c r="U108" s="116"/>
      <c r="V108" s="116"/>
      <c r="W108" s="116"/>
    </row>
    <row r="109" spans="1:25" s="12" customFormat="1" ht="14.4" customHeight="1" x14ac:dyDescent="0.3">
      <c r="A109" s="118"/>
      <c r="B109" s="118"/>
      <c r="C109" s="116" t="s">
        <v>215</v>
      </c>
      <c r="D109" s="116" t="str">
        <f>'URAIAN JABATAN'!D125</f>
        <v>G</v>
      </c>
      <c r="E109" s="116" t="s">
        <v>227</v>
      </c>
      <c r="F109" s="329" t="str">
        <f>'URAIAN JABATAN'!F125</f>
        <v>Intelegensia (Kemampuan belajar secara umum)</v>
      </c>
      <c r="G109" s="329"/>
      <c r="H109" s="329"/>
      <c r="I109" s="329"/>
      <c r="J109" s="329"/>
      <c r="K109" s="329"/>
      <c r="L109" s="329"/>
      <c r="M109" s="329"/>
      <c r="N109" s="329"/>
      <c r="O109" s="329"/>
      <c r="P109" s="329"/>
      <c r="Q109" s="329"/>
      <c r="R109" s="329"/>
      <c r="S109" s="329"/>
      <c r="T109" s="329"/>
      <c r="U109" s="329"/>
      <c r="V109" s="329"/>
      <c r="W109" s="329"/>
    </row>
    <row r="110" spans="1:25" s="12" customFormat="1" ht="14.4" customHeight="1" x14ac:dyDescent="0.3">
      <c r="A110" s="118"/>
      <c r="B110" s="118"/>
      <c r="C110" s="116" t="s">
        <v>217</v>
      </c>
      <c r="D110" s="116" t="str">
        <f>'URAIAN JABATAN'!D126</f>
        <v>F</v>
      </c>
      <c r="E110" s="116" t="s">
        <v>227</v>
      </c>
      <c r="F110" s="329" t="str">
        <f>'URAIAN JABATAN'!F126</f>
        <v>Kecekatan Jari (Kemampuan menggerakkan jari jemari dengan mudah dan perlu ketrampilan)</v>
      </c>
      <c r="G110" s="329"/>
      <c r="H110" s="329"/>
      <c r="I110" s="329"/>
      <c r="J110" s="329"/>
      <c r="K110" s="329"/>
      <c r="L110" s="329"/>
      <c r="M110" s="329"/>
      <c r="N110" s="329"/>
      <c r="O110" s="329"/>
      <c r="P110" s="329"/>
      <c r="Q110" s="329"/>
      <c r="R110" s="329"/>
      <c r="S110" s="329"/>
      <c r="T110" s="329"/>
      <c r="U110" s="329"/>
      <c r="V110" s="329"/>
      <c r="W110" s="329"/>
    </row>
    <row r="111" spans="1:25" s="12" customFormat="1" ht="14.4" customHeight="1" x14ac:dyDescent="0.3">
      <c r="A111" s="118"/>
      <c r="B111" s="118" t="s">
        <v>135</v>
      </c>
      <c r="C111" s="116" t="s">
        <v>232</v>
      </c>
      <c r="D111" s="116"/>
      <c r="E111" s="116"/>
      <c r="F111" s="116"/>
      <c r="G111" s="116"/>
      <c r="H111" s="116"/>
      <c r="I111" s="116"/>
      <c r="J111" s="116"/>
      <c r="K111" s="116"/>
      <c r="L111" s="116"/>
      <c r="M111" s="116"/>
      <c r="N111" s="116"/>
      <c r="O111" s="116"/>
      <c r="P111" s="116"/>
      <c r="Q111" s="116"/>
      <c r="R111" s="116"/>
      <c r="S111" s="116"/>
      <c r="T111" s="116"/>
      <c r="U111" s="116"/>
      <c r="V111" s="116"/>
      <c r="W111" s="116"/>
    </row>
    <row r="112" spans="1:25" s="12" customFormat="1" ht="21.6" customHeight="1" x14ac:dyDescent="0.3">
      <c r="A112" s="118"/>
      <c r="B112" s="118"/>
      <c r="C112" s="116" t="s">
        <v>215</v>
      </c>
      <c r="D112" s="116" t="str">
        <f>'URAIAN JABATAN'!D128</f>
        <v>P (DEPL)</v>
      </c>
      <c r="E112" s="121"/>
      <c r="G112" s="116" t="s">
        <v>227</v>
      </c>
      <c r="H112" s="337" t="str">
        <f>'URAIAN JABATAN'!H128</f>
        <v>Kemampuan menyesuaikan diri dalam berhubungan dengan orang lain lebih dari hanya penerimaan dan pembuatan instruksi.</v>
      </c>
      <c r="I112" s="337"/>
      <c r="J112" s="337"/>
      <c r="K112" s="337"/>
      <c r="L112" s="337"/>
      <c r="M112" s="337"/>
      <c r="N112" s="337"/>
      <c r="O112" s="337"/>
      <c r="P112" s="337"/>
      <c r="Q112" s="337"/>
      <c r="R112" s="337"/>
      <c r="S112" s="337"/>
      <c r="T112" s="337"/>
      <c r="U112" s="337"/>
      <c r="V112" s="337"/>
      <c r="W112" s="337"/>
      <c r="X112" s="127"/>
      <c r="Y112" s="127"/>
    </row>
    <row r="113" spans="1:25" s="12" customFormat="1" ht="21.6" customHeight="1" x14ac:dyDescent="0.3">
      <c r="A113" s="118"/>
      <c r="B113" s="118"/>
      <c r="C113" s="116" t="s">
        <v>217</v>
      </c>
      <c r="D113" s="116" t="str">
        <f>'URAIAN JABATAN'!D129</f>
        <v>R (REPCON)</v>
      </c>
      <c r="E113" s="121"/>
      <c r="G113" s="116" t="s">
        <v>227</v>
      </c>
      <c r="H113" s="337" t="str">
        <f>'URAIAN JABATAN'!H129</f>
        <v>Kemampuan menyesuaikan diri dalam kegiatan-kegiatan yang berulang, atau secara terus menerus melakukan kegiatan yang sama, sesuai dengan perangkat prosedur, urutan atau kecepatan tertentu.</v>
      </c>
      <c r="I113" s="337"/>
      <c r="J113" s="337"/>
      <c r="K113" s="337"/>
      <c r="L113" s="337"/>
      <c r="M113" s="337"/>
      <c r="N113" s="337"/>
      <c r="O113" s="337"/>
      <c r="P113" s="337"/>
      <c r="Q113" s="337"/>
      <c r="R113" s="337"/>
      <c r="S113" s="337"/>
      <c r="T113" s="337"/>
      <c r="U113" s="337"/>
      <c r="V113" s="337"/>
      <c r="W113" s="337"/>
      <c r="X113" s="127"/>
      <c r="Y113" s="127"/>
    </row>
    <row r="114" spans="1:25" s="12" customFormat="1" ht="21.6" customHeight="1" x14ac:dyDescent="0.3">
      <c r="A114" s="118"/>
      <c r="B114" s="118"/>
      <c r="C114" s="116" t="s">
        <v>237</v>
      </c>
      <c r="D114" s="116" t="str">
        <f>'URAIAN JABATAN'!D130</f>
        <v>T (STS)</v>
      </c>
      <c r="E114" s="121"/>
      <c r="G114" s="116" t="s">
        <v>227</v>
      </c>
      <c r="H114" s="337" t="str">
        <f>'URAIAN JABATAN'!H130</f>
        <v>Kemampuan menyesuaikan diri dengan situasi yang menghendaki pencapaian dengan tepat menurut perangkat batas, toleransi atau standar-standar tertentu.</v>
      </c>
      <c r="I114" s="337"/>
      <c r="J114" s="337"/>
      <c r="K114" s="337"/>
      <c r="L114" s="337"/>
      <c r="M114" s="337"/>
      <c r="N114" s="337"/>
      <c r="O114" s="337"/>
      <c r="P114" s="337"/>
      <c r="Q114" s="337"/>
      <c r="R114" s="337"/>
      <c r="S114" s="337"/>
      <c r="T114" s="337"/>
      <c r="U114" s="337"/>
      <c r="V114" s="337"/>
      <c r="W114" s="337"/>
      <c r="X114" s="127"/>
      <c r="Y114" s="127"/>
    </row>
    <row r="115" spans="1:25" s="12" customFormat="1" ht="13.8" x14ac:dyDescent="0.3">
      <c r="A115" s="118"/>
      <c r="B115" s="118" t="s">
        <v>136</v>
      </c>
      <c r="C115" s="116" t="s">
        <v>241</v>
      </c>
      <c r="D115" s="116"/>
      <c r="E115" s="116"/>
      <c r="F115" s="116" t="s">
        <v>2</v>
      </c>
      <c r="G115" s="116"/>
      <c r="H115" s="116"/>
      <c r="I115" s="116"/>
      <c r="J115" s="116"/>
      <c r="K115" s="116"/>
      <c r="L115" s="116"/>
      <c r="M115" s="116"/>
      <c r="N115" s="116"/>
      <c r="O115" s="116"/>
      <c r="P115" s="116"/>
      <c r="Q115" s="116"/>
      <c r="R115" s="116"/>
      <c r="S115" s="116"/>
      <c r="T115" s="116"/>
      <c r="U115" s="116"/>
      <c r="V115" s="116"/>
      <c r="W115" s="116"/>
    </row>
    <row r="116" spans="1:25" s="12" customFormat="1" ht="23.4" customHeight="1" x14ac:dyDescent="0.3">
      <c r="A116" s="118"/>
      <c r="B116" s="118"/>
      <c r="C116" s="116" t="s">
        <v>215</v>
      </c>
      <c r="D116" s="116" t="str">
        <f>'URAIAN JABATAN'!D132</f>
        <v>Sosial</v>
      </c>
      <c r="E116" s="116"/>
      <c r="F116" s="116"/>
      <c r="G116" s="116"/>
      <c r="H116" s="116" t="s">
        <v>2</v>
      </c>
      <c r="I116" s="329" t="str">
        <f>'URAIAN JABATAN'!I132</f>
        <v>Aktivitas yang bersifat sosial atau memerlukan ketrampilan berkomunikasi dengan orang lain.</v>
      </c>
      <c r="J116" s="329"/>
      <c r="K116" s="329"/>
      <c r="L116" s="329"/>
      <c r="M116" s="329"/>
      <c r="N116" s="329"/>
      <c r="O116" s="329"/>
      <c r="P116" s="329"/>
      <c r="Q116" s="329"/>
      <c r="R116" s="329"/>
      <c r="S116" s="329"/>
      <c r="T116" s="329"/>
      <c r="U116" s="329"/>
      <c r="V116" s="329"/>
      <c r="W116" s="329"/>
    </row>
    <row r="117" spans="1:25" s="12" customFormat="1" ht="23.4" customHeight="1" x14ac:dyDescent="0.3">
      <c r="A117" s="118"/>
      <c r="B117" s="118"/>
      <c r="C117" s="116" t="s">
        <v>217</v>
      </c>
      <c r="D117" s="116" t="str">
        <f>'URAIAN JABATAN'!D133</f>
        <v>Konvensional</v>
      </c>
      <c r="E117" s="116"/>
      <c r="F117" s="116"/>
      <c r="G117" s="116"/>
      <c r="H117" s="116" t="s">
        <v>2</v>
      </c>
      <c r="I117" s="329" t="str">
        <f>'URAIAN JABATAN'!I133</f>
        <v>Aktivitas yang memerlukan manipulasi data yang eksplisit, kegiatan administrasi, rutin, dan klerikal.</v>
      </c>
      <c r="J117" s="329"/>
      <c r="K117" s="329"/>
      <c r="L117" s="329"/>
      <c r="M117" s="329"/>
      <c r="N117" s="329"/>
      <c r="O117" s="329"/>
      <c r="P117" s="329"/>
      <c r="Q117" s="329"/>
      <c r="R117" s="329"/>
      <c r="S117" s="329"/>
      <c r="T117" s="329"/>
      <c r="U117" s="329"/>
      <c r="V117" s="329"/>
      <c r="W117" s="329"/>
    </row>
    <row r="118" spans="1:25" x14ac:dyDescent="0.3">
      <c r="A118" s="78"/>
      <c r="B118" s="78" t="s">
        <v>137</v>
      </c>
      <c r="C118" s="79" t="s">
        <v>247</v>
      </c>
      <c r="D118" s="79"/>
      <c r="E118" s="79"/>
      <c r="F118" s="79" t="s">
        <v>2</v>
      </c>
      <c r="G118" s="79"/>
      <c r="H118" s="79"/>
      <c r="I118" s="79"/>
      <c r="J118" s="79"/>
      <c r="K118" s="79"/>
      <c r="L118" s="79"/>
      <c r="M118" s="79"/>
      <c r="N118" s="79"/>
      <c r="O118" s="79"/>
      <c r="P118" s="79"/>
      <c r="Q118" s="79"/>
      <c r="R118" s="79"/>
      <c r="S118" s="79"/>
      <c r="T118" s="79"/>
      <c r="U118" s="79"/>
      <c r="V118" s="79"/>
      <c r="W118" s="79"/>
    </row>
    <row r="119" spans="1:25" x14ac:dyDescent="0.3">
      <c r="A119" s="78"/>
      <c r="B119" s="78"/>
      <c r="C119" s="79" t="s">
        <v>215</v>
      </c>
      <c r="D119" s="79" t="str">
        <f>'URAIAN JABATAN'!D135</f>
        <v>Berdiri</v>
      </c>
      <c r="E119" s="79"/>
      <c r="F119" s="79"/>
      <c r="G119" s="79"/>
      <c r="H119" s="79"/>
      <c r="I119" s="79"/>
      <c r="J119" s="79"/>
      <c r="K119" s="79"/>
      <c r="L119" s="79"/>
      <c r="M119" s="79"/>
      <c r="N119" s="79"/>
      <c r="O119" s="79"/>
      <c r="P119" s="79"/>
      <c r="Q119" s="79"/>
      <c r="R119" s="79"/>
      <c r="S119" s="79"/>
      <c r="T119" s="79"/>
      <c r="U119" s="79"/>
      <c r="V119" s="79"/>
      <c r="W119" s="79"/>
    </row>
    <row r="120" spans="1:25" x14ac:dyDescent="0.3">
      <c r="A120" s="78"/>
      <c r="B120" s="78"/>
      <c r="C120" s="79" t="s">
        <v>217</v>
      </c>
      <c r="D120" s="79" t="str">
        <f>'URAIAN JABATAN'!D136</f>
        <v>Duduk</v>
      </c>
      <c r="E120" s="79"/>
      <c r="F120" s="79"/>
      <c r="G120" s="79"/>
      <c r="H120" s="79"/>
      <c r="I120" s="79"/>
      <c r="J120" s="79"/>
      <c r="K120" s="79"/>
      <c r="L120" s="79"/>
      <c r="M120" s="79"/>
      <c r="N120" s="79"/>
      <c r="O120" s="79"/>
      <c r="P120" s="79"/>
      <c r="Q120" s="79"/>
      <c r="R120" s="79"/>
      <c r="S120" s="79"/>
      <c r="T120" s="79"/>
      <c r="U120" s="79"/>
      <c r="V120" s="79"/>
      <c r="W120" s="79"/>
    </row>
    <row r="121" spans="1:25" x14ac:dyDescent="0.3">
      <c r="A121" s="78"/>
      <c r="B121" s="78"/>
      <c r="C121" s="79" t="s">
        <v>237</v>
      </c>
      <c r="D121" s="79" t="str">
        <f>'URAIAN JABATAN'!D137</f>
        <v>Bekerja dengan jari</v>
      </c>
      <c r="E121" s="79"/>
      <c r="F121" s="79"/>
      <c r="G121" s="79"/>
      <c r="H121" s="79"/>
      <c r="I121" s="79"/>
      <c r="J121" s="79"/>
      <c r="K121" s="79"/>
      <c r="L121" s="79"/>
      <c r="M121" s="79"/>
      <c r="N121" s="79"/>
      <c r="O121" s="79"/>
      <c r="P121" s="79"/>
      <c r="Q121" s="79"/>
      <c r="R121" s="79"/>
      <c r="S121" s="79"/>
      <c r="T121" s="79"/>
      <c r="U121" s="79"/>
      <c r="V121" s="79"/>
      <c r="W121" s="79"/>
    </row>
    <row r="122" spans="1:25" x14ac:dyDescent="0.3">
      <c r="A122" s="78"/>
      <c r="B122" s="78"/>
      <c r="C122" s="79" t="s">
        <v>251</v>
      </c>
      <c r="D122" s="79" t="str">
        <f>'URAIAN JABATAN'!D138</f>
        <v>Berbicara</v>
      </c>
      <c r="E122" s="79"/>
      <c r="F122" s="79"/>
      <c r="G122" s="79"/>
      <c r="H122" s="79"/>
      <c r="I122" s="79"/>
      <c r="J122" s="79"/>
      <c r="K122" s="79"/>
      <c r="L122" s="79"/>
      <c r="M122" s="79"/>
      <c r="N122" s="79"/>
      <c r="O122" s="79"/>
      <c r="P122" s="79"/>
      <c r="Q122" s="79"/>
      <c r="R122" s="79"/>
      <c r="S122" s="79"/>
      <c r="T122" s="79"/>
      <c r="U122" s="79"/>
      <c r="V122" s="79"/>
      <c r="W122" s="79"/>
    </row>
    <row r="123" spans="1:25" x14ac:dyDescent="0.3">
      <c r="A123" s="78"/>
      <c r="B123" s="78" t="s">
        <v>138</v>
      </c>
      <c r="C123" s="79" t="s">
        <v>254</v>
      </c>
      <c r="D123" s="79"/>
      <c r="E123" s="79"/>
      <c r="F123" s="79" t="s">
        <v>2</v>
      </c>
      <c r="G123" s="79"/>
      <c r="H123" s="79"/>
      <c r="I123" s="79"/>
      <c r="J123" s="79"/>
      <c r="K123" s="79"/>
      <c r="L123" s="79"/>
      <c r="M123" s="79"/>
      <c r="N123" s="79"/>
      <c r="O123" s="79"/>
      <c r="P123" s="79"/>
      <c r="Q123" s="79"/>
      <c r="R123" s="79"/>
      <c r="S123" s="79"/>
      <c r="T123" s="79"/>
      <c r="U123" s="79"/>
      <c r="V123" s="79"/>
      <c r="W123" s="79"/>
    </row>
    <row r="124" spans="1:25" x14ac:dyDescent="0.3">
      <c r="A124" s="78"/>
      <c r="B124" s="78"/>
      <c r="C124" s="79" t="s">
        <v>215</v>
      </c>
      <c r="D124" s="79" t="s">
        <v>255</v>
      </c>
      <c r="E124" s="79"/>
      <c r="F124" s="79"/>
      <c r="G124" s="79"/>
      <c r="H124" s="79" t="s">
        <v>2</v>
      </c>
      <c r="I124" s="79" t="str">
        <f>'URAIAN JABATAN'!I140</f>
        <v>Laki-laki/Perempuan</v>
      </c>
      <c r="J124" s="79"/>
      <c r="K124" s="79"/>
      <c r="L124" s="79"/>
      <c r="M124" s="79"/>
      <c r="N124" s="79"/>
      <c r="O124" s="79"/>
      <c r="P124" s="79"/>
      <c r="Q124" s="79"/>
      <c r="R124" s="79"/>
      <c r="S124" s="79"/>
      <c r="T124" s="79"/>
      <c r="U124" s="79"/>
      <c r="V124" s="79"/>
      <c r="W124" s="79"/>
    </row>
    <row r="125" spans="1:25" x14ac:dyDescent="0.3">
      <c r="A125" s="78"/>
      <c r="B125" s="78"/>
      <c r="C125" s="79" t="s">
        <v>217</v>
      </c>
      <c r="D125" s="79" t="s">
        <v>257</v>
      </c>
      <c r="E125" s="79"/>
      <c r="F125" s="79"/>
      <c r="G125" s="79"/>
      <c r="H125" s="79" t="s">
        <v>2</v>
      </c>
      <c r="I125" s="79" t="str">
        <f>'URAIAN JABATAN'!I141</f>
        <v>Tidak ada syarat khusus</v>
      </c>
      <c r="J125" s="79"/>
      <c r="K125" s="79"/>
      <c r="L125" s="79"/>
      <c r="M125" s="79"/>
      <c r="N125" s="79"/>
      <c r="O125" s="79"/>
      <c r="P125" s="79"/>
      <c r="Q125" s="79"/>
      <c r="R125" s="79"/>
      <c r="S125" s="79"/>
      <c r="T125" s="79"/>
      <c r="U125" s="79"/>
      <c r="V125" s="79"/>
      <c r="W125" s="79"/>
    </row>
    <row r="126" spans="1:25" x14ac:dyDescent="0.3">
      <c r="A126" s="78"/>
      <c r="B126" s="78"/>
      <c r="C126" s="79" t="s">
        <v>237</v>
      </c>
      <c r="D126" s="79" t="s">
        <v>259</v>
      </c>
      <c r="E126" s="79"/>
      <c r="F126" s="79"/>
      <c r="G126" s="79"/>
      <c r="H126" s="79" t="s">
        <v>2</v>
      </c>
      <c r="I126" s="79" t="str">
        <f>'URAIAN JABATAN'!I142</f>
        <v>Tidak ada syarat khusus</v>
      </c>
      <c r="J126" s="79"/>
      <c r="K126" s="79"/>
      <c r="L126" s="79"/>
      <c r="M126" s="79"/>
      <c r="N126" s="79"/>
      <c r="O126" s="79"/>
      <c r="P126" s="79"/>
      <c r="Q126" s="79"/>
      <c r="R126" s="79"/>
      <c r="S126" s="79"/>
      <c r="T126" s="79"/>
      <c r="U126" s="79"/>
      <c r="V126" s="79"/>
      <c r="W126" s="79"/>
    </row>
    <row r="127" spans="1:25" x14ac:dyDescent="0.3">
      <c r="A127" s="78"/>
      <c r="B127" s="78"/>
      <c r="C127" s="79" t="s">
        <v>251</v>
      </c>
      <c r="D127" s="79" t="s">
        <v>260</v>
      </c>
      <c r="E127" s="79"/>
      <c r="F127" s="79"/>
      <c r="G127" s="79"/>
      <c r="H127" s="79" t="s">
        <v>2</v>
      </c>
      <c r="I127" s="79" t="str">
        <f>'URAIAN JABATAN'!I143</f>
        <v>Tidak ada syarat khusus</v>
      </c>
      <c r="J127" s="79"/>
      <c r="K127" s="79"/>
      <c r="L127" s="79"/>
      <c r="M127" s="79"/>
      <c r="N127" s="79"/>
      <c r="O127" s="79"/>
      <c r="P127" s="79"/>
      <c r="Q127" s="79"/>
      <c r="R127" s="79"/>
      <c r="S127" s="79"/>
      <c r="T127" s="79"/>
      <c r="U127" s="79"/>
      <c r="V127" s="79"/>
      <c r="W127" s="79"/>
    </row>
    <row r="128" spans="1:25" x14ac:dyDescent="0.3">
      <c r="A128" s="78"/>
      <c r="B128" s="78"/>
      <c r="C128" s="79" t="s">
        <v>261</v>
      </c>
      <c r="D128" s="79" t="s">
        <v>515</v>
      </c>
      <c r="E128" s="79"/>
      <c r="F128" s="79"/>
      <c r="G128" s="79"/>
      <c r="H128" s="79" t="s">
        <v>2</v>
      </c>
      <c r="I128" s="79" t="str">
        <f>'URAIAN JABATAN'!I144</f>
        <v>Tidak ada syarat khusus</v>
      </c>
      <c r="J128" s="79"/>
      <c r="K128" s="79"/>
      <c r="L128" s="79"/>
      <c r="M128" s="79"/>
      <c r="N128" s="79"/>
      <c r="O128" s="79"/>
      <c r="P128" s="79"/>
      <c r="Q128" s="79"/>
      <c r="R128" s="79"/>
      <c r="S128" s="79"/>
      <c r="T128" s="79"/>
      <c r="U128" s="79"/>
      <c r="V128" s="79"/>
      <c r="W128" s="79"/>
    </row>
    <row r="129" spans="1:23" x14ac:dyDescent="0.3">
      <c r="A129" s="78"/>
      <c r="B129" s="78"/>
      <c r="C129" s="79" t="s">
        <v>263</v>
      </c>
      <c r="D129" s="79" t="s">
        <v>264</v>
      </c>
      <c r="E129" s="79"/>
      <c r="F129" s="79"/>
      <c r="G129" s="79"/>
      <c r="H129" s="79" t="s">
        <v>2</v>
      </c>
      <c r="I129" s="79" t="str">
        <f>'URAIAN JABATAN'!I145</f>
        <v>Rapi</v>
      </c>
      <c r="J129" s="79"/>
      <c r="K129" s="79"/>
      <c r="L129" s="79"/>
      <c r="M129" s="79"/>
      <c r="N129" s="79"/>
      <c r="O129" s="79"/>
      <c r="P129" s="79"/>
      <c r="Q129" s="79"/>
      <c r="R129" s="79"/>
      <c r="S129" s="79"/>
      <c r="T129" s="79"/>
      <c r="U129" s="79"/>
      <c r="V129" s="79"/>
      <c r="W129" s="79"/>
    </row>
    <row r="130" spans="1:23" x14ac:dyDescent="0.3">
      <c r="A130" s="78"/>
      <c r="B130" s="78" t="s">
        <v>266</v>
      </c>
      <c r="C130" s="79" t="s">
        <v>516</v>
      </c>
      <c r="D130" s="79"/>
      <c r="E130" s="79"/>
      <c r="F130" s="79"/>
      <c r="G130" s="79" t="s">
        <v>2</v>
      </c>
      <c r="H130" s="79"/>
      <c r="I130" s="79"/>
      <c r="J130" s="79"/>
      <c r="K130" s="79"/>
      <c r="L130" s="79"/>
      <c r="M130" s="79"/>
      <c r="N130" s="79"/>
      <c r="O130" s="79"/>
      <c r="P130" s="79"/>
      <c r="Q130" s="79"/>
      <c r="R130" s="79"/>
      <c r="S130" s="79"/>
      <c r="T130" s="79"/>
      <c r="U130" s="79"/>
      <c r="V130" s="79"/>
      <c r="W130" s="79"/>
    </row>
    <row r="131" spans="1:23" x14ac:dyDescent="0.3">
      <c r="A131" s="78"/>
      <c r="B131" s="78"/>
      <c r="C131" s="79" t="s">
        <v>215</v>
      </c>
      <c r="D131" s="79" t="s">
        <v>268</v>
      </c>
      <c r="E131" s="79"/>
      <c r="F131" s="79" t="s">
        <v>2</v>
      </c>
      <c r="G131" s="79" t="str">
        <f>'URAIAN JABATAN'!G147</f>
        <v>B7</v>
      </c>
      <c r="H131" s="79" t="s">
        <v>227</v>
      </c>
      <c r="I131" s="79" t="str">
        <f>'URAIAN JABATAN'!I147</f>
        <v>Memegang</v>
      </c>
      <c r="J131" s="79"/>
      <c r="K131" s="79"/>
      <c r="L131" s="79"/>
      <c r="M131" s="79"/>
      <c r="N131" s="79"/>
      <c r="O131" s="79"/>
      <c r="P131" s="79"/>
      <c r="Q131" s="79"/>
      <c r="R131" s="79"/>
      <c r="S131" s="79"/>
      <c r="T131" s="79"/>
      <c r="U131" s="79"/>
      <c r="V131" s="79"/>
      <c r="W131" s="79"/>
    </row>
    <row r="132" spans="1:23" x14ac:dyDescent="0.3">
      <c r="A132" s="78"/>
      <c r="B132" s="78"/>
      <c r="C132" s="79" t="s">
        <v>217</v>
      </c>
      <c r="D132" s="79" t="s">
        <v>271</v>
      </c>
      <c r="E132" s="79"/>
      <c r="F132" s="79" t="s">
        <v>2</v>
      </c>
      <c r="G132" s="79" t="str">
        <f>'URAIAN JABATAN'!G148</f>
        <v>D5</v>
      </c>
      <c r="H132" s="79" t="s">
        <v>227</v>
      </c>
      <c r="I132" s="360" t="str">
        <f>'URAIAN JABATAN'!I148</f>
        <v>Menyalin data</v>
      </c>
      <c r="J132" s="360"/>
      <c r="K132" s="360"/>
      <c r="L132" s="360"/>
      <c r="M132" s="360"/>
      <c r="N132" s="360"/>
      <c r="O132" s="360"/>
      <c r="P132" s="360"/>
      <c r="Q132" s="360"/>
      <c r="R132" s="360"/>
      <c r="S132" s="360"/>
      <c r="T132" s="360"/>
      <c r="U132" s="360"/>
      <c r="V132" s="360"/>
      <c r="W132" s="360"/>
    </row>
    <row r="133" spans="1:23" x14ac:dyDescent="0.3">
      <c r="A133" s="78"/>
      <c r="B133" s="78"/>
      <c r="C133" s="79" t="s">
        <v>237</v>
      </c>
      <c r="D133" s="79" t="s">
        <v>274</v>
      </c>
      <c r="E133" s="79"/>
      <c r="F133" s="79" t="s">
        <v>2</v>
      </c>
      <c r="G133" s="79" t="str">
        <f>'URAIAN JABATAN'!G149</f>
        <v>O8</v>
      </c>
      <c r="H133" s="79" t="s">
        <v>227</v>
      </c>
      <c r="I133" s="360" t="str">
        <f>'URAIAN JABATAN'!I149</f>
        <v>Menerima instruksi</v>
      </c>
      <c r="J133" s="360"/>
      <c r="K133" s="360"/>
      <c r="L133" s="360"/>
      <c r="M133" s="360"/>
      <c r="N133" s="360"/>
      <c r="O133" s="360"/>
      <c r="P133" s="360"/>
      <c r="Q133" s="360"/>
      <c r="R133" s="360"/>
      <c r="S133" s="360"/>
      <c r="T133" s="360"/>
      <c r="U133" s="360"/>
      <c r="V133" s="360"/>
      <c r="W133" s="360"/>
    </row>
    <row r="134" spans="1:23" x14ac:dyDescent="0.3">
      <c r="A134" s="78"/>
      <c r="B134" s="79"/>
      <c r="C134" s="79"/>
      <c r="D134" s="79"/>
      <c r="E134" s="79"/>
      <c r="F134" s="79"/>
      <c r="G134" s="79"/>
      <c r="H134" s="79"/>
      <c r="I134" s="79"/>
      <c r="J134" s="79"/>
      <c r="K134" s="79"/>
      <c r="L134" s="79"/>
      <c r="M134" s="79"/>
      <c r="N134" s="79"/>
      <c r="O134" s="79"/>
      <c r="P134" s="79"/>
      <c r="Q134" s="79"/>
      <c r="R134" s="79"/>
      <c r="S134" s="79"/>
      <c r="T134" s="79"/>
      <c r="U134" s="79"/>
      <c r="V134" s="79"/>
      <c r="W134" s="79"/>
    </row>
    <row r="135" spans="1:23" x14ac:dyDescent="0.3">
      <c r="A135" s="122" t="s">
        <v>277</v>
      </c>
      <c r="B135" s="123" t="s">
        <v>517</v>
      </c>
      <c r="C135" s="79"/>
      <c r="D135" s="79"/>
      <c r="E135" s="79"/>
      <c r="F135" s="79"/>
      <c r="G135" s="79"/>
      <c r="H135" s="79"/>
      <c r="I135" s="79" t="s">
        <v>2</v>
      </c>
      <c r="J135" s="360" t="str">
        <f>'URAIAN JABATAN'!J151</f>
        <v>Baik</v>
      </c>
      <c r="K135" s="360"/>
      <c r="L135" s="360"/>
      <c r="M135" s="360"/>
      <c r="N135" s="360"/>
      <c r="O135" s="360"/>
      <c r="P135" s="360"/>
      <c r="Q135" s="360"/>
      <c r="R135" s="360"/>
      <c r="S135" s="360"/>
      <c r="T135" s="360"/>
      <c r="U135" s="360"/>
      <c r="V135" s="360"/>
      <c r="W135" s="360"/>
    </row>
    <row r="136" spans="1:23" x14ac:dyDescent="0.3">
      <c r="A136" s="122" t="s">
        <v>518</v>
      </c>
      <c r="B136" s="123" t="s">
        <v>36</v>
      </c>
      <c r="C136" s="79"/>
      <c r="D136" s="79"/>
      <c r="E136" s="79"/>
      <c r="F136" s="79"/>
      <c r="G136" s="79"/>
      <c r="H136" s="79"/>
      <c r="I136" s="79" t="s">
        <v>2</v>
      </c>
      <c r="J136" s="79" t="str">
        <f>INFOFAK!M93</f>
        <v>5</v>
      </c>
      <c r="K136" s="79"/>
      <c r="L136" s="79"/>
      <c r="M136" s="79"/>
      <c r="N136" s="79"/>
      <c r="O136" s="79"/>
      <c r="P136" s="79"/>
      <c r="Q136" s="79"/>
      <c r="R136" s="79"/>
      <c r="S136" s="79"/>
      <c r="T136" s="79"/>
      <c r="U136" s="79"/>
      <c r="V136" s="79"/>
      <c r="W136" s="79"/>
    </row>
  </sheetData>
  <sheetProtection formatColumns="0" formatRows="0" insertHyperlinks="0" selectLockedCells="1" autoFilter="0" pivotTables="0" selectUnlockedCells="1"/>
  <mergeCells count="158">
    <mergeCell ref="C68:W68"/>
    <mergeCell ref="C69:W69"/>
    <mergeCell ref="J135:W135"/>
    <mergeCell ref="A7:W7"/>
    <mergeCell ref="H9:W9"/>
    <mergeCell ref="H12:W12"/>
    <mergeCell ref="H13:W13"/>
    <mergeCell ref="H14:W14"/>
    <mergeCell ref="H15:W15"/>
    <mergeCell ref="H16:W16"/>
    <mergeCell ref="I116:W116"/>
    <mergeCell ref="I117:W117"/>
    <mergeCell ref="I132:W132"/>
    <mergeCell ref="F109:W109"/>
    <mergeCell ref="F110:W110"/>
    <mergeCell ref="C28:H28"/>
    <mergeCell ref="V33:W33"/>
    <mergeCell ref="C30:H30"/>
    <mergeCell ref="J24:W24"/>
    <mergeCell ref="C104:K104"/>
    <mergeCell ref="L104:W104"/>
    <mergeCell ref="H107:W107"/>
    <mergeCell ref="I133:W133"/>
    <mergeCell ref="C93:K93"/>
    <mergeCell ref="L93:W93"/>
    <mergeCell ref="C88:K88"/>
    <mergeCell ref="L89:W89"/>
    <mergeCell ref="C82:I82"/>
    <mergeCell ref="J82:P82"/>
    <mergeCell ref="Q82:W82"/>
    <mergeCell ref="N50:W50"/>
    <mergeCell ref="C83:I83"/>
    <mergeCell ref="J83:P83"/>
    <mergeCell ref="Q83:W83"/>
    <mergeCell ref="C78:W78"/>
    <mergeCell ref="C61:M61"/>
    <mergeCell ref="C51:M51"/>
    <mergeCell ref="N62:W62"/>
    <mergeCell ref="C58:M58"/>
    <mergeCell ref="N58:W58"/>
    <mergeCell ref="C59:M59"/>
    <mergeCell ref="N59:W59"/>
    <mergeCell ref="C70:W70"/>
    <mergeCell ref="C71:W71"/>
    <mergeCell ref="C72:W72"/>
    <mergeCell ref="C76:W76"/>
    <mergeCell ref="C77:W77"/>
    <mergeCell ref="L88:W88"/>
    <mergeCell ref="C66:W66"/>
    <mergeCell ref="C67:W67"/>
    <mergeCell ref="C91:K91"/>
    <mergeCell ref="L91:W91"/>
    <mergeCell ref="C92:K92"/>
    <mergeCell ref="L92:W92"/>
    <mergeCell ref="J84:P84"/>
    <mergeCell ref="Q84:W84"/>
    <mergeCell ref="C84:I84"/>
    <mergeCell ref="C90:K90"/>
    <mergeCell ref="C103:K103"/>
    <mergeCell ref="L103:W103"/>
    <mergeCell ref="C97:K97"/>
    <mergeCell ref="L97:W97"/>
    <mergeCell ref="C101:K101"/>
    <mergeCell ref="L101:W101"/>
    <mergeCell ref="C102:K102"/>
    <mergeCell ref="L102:W102"/>
    <mergeCell ref="C94:K94"/>
    <mergeCell ref="L94:W94"/>
    <mergeCell ref="C95:K95"/>
    <mergeCell ref="L95:W95"/>
    <mergeCell ref="C96:K96"/>
    <mergeCell ref="L96:W96"/>
    <mergeCell ref="L90:W90"/>
    <mergeCell ref="C89:K89"/>
    <mergeCell ref="C29:H29"/>
    <mergeCell ref="I29:N29"/>
    <mergeCell ref="B35:Q35"/>
    <mergeCell ref="C38:W38"/>
    <mergeCell ref="C62:M62"/>
    <mergeCell ref="I30:N30"/>
    <mergeCell ref="O30:Q30"/>
    <mergeCell ref="C32:H32"/>
    <mergeCell ref="I32:N32"/>
    <mergeCell ref="O32:Q32"/>
    <mergeCell ref="R32:S32"/>
    <mergeCell ref="T32:U32"/>
    <mergeCell ref="V32:W32"/>
    <mergeCell ref="C31:H31"/>
    <mergeCell ref="N51:W51"/>
    <mergeCell ref="C52:M52"/>
    <mergeCell ref="N52:W52"/>
    <mergeCell ref="C50:M50"/>
    <mergeCell ref="C42:W42"/>
    <mergeCell ref="C43:W43"/>
    <mergeCell ref="C53:M53"/>
    <mergeCell ref="C40:W40"/>
    <mergeCell ref="C41:W41"/>
    <mergeCell ref="C44:W44"/>
    <mergeCell ref="O27:Q27"/>
    <mergeCell ref="R27:S27"/>
    <mergeCell ref="V30:W30"/>
    <mergeCell ref="R28:S28"/>
    <mergeCell ref="R29:S29"/>
    <mergeCell ref="T29:U29"/>
    <mergeCell ref="V29:W29"/>
    <mergeCell ref="I28:N28"/>
    <mergeCell ref="O28:Q28"/>
    <mergeCell ref="T30:U30"/>
    <mergeCell ref="T28:U28"/>
    <mergeCell ref="V28:W28"/>
    <mergeCell ref="A5:W5"/>
    <mergeCell ref="C48:M48"/>
    <mergeCell ref="N48:W48"/>
    <mergeCell ref="C49:M49"/>
    <mergeCell ref="N49:W49"/>
    <mergeCell ref="H17:W17"/>
    <mergeCell ref="H18:W18"/>
    <mergeCell ref="J23:W23"/>
    <mergeCell ref="J22:W22"/>
    <mergeCell ref="O26:Q26"/>
    <mergeCell ref="R26:S26"/>
    <mergeCell ref="T26:U26"/>
    <mergeCell ref="V26:W26"/>
    <mergeCell ref="C33:H33"/>
    <mergeCell ref="I33:N33"/>
    <mergeCell ref="O29:Q29"/>
    <mergeCell ref="I31:N31"/>
    <mergeCell ref="O31:Q31"/>
    <mergeCell ref="R31:S31"/>
    <mergeCell ref="T31:U31"/>
    <mergeCell ref="V31:W31"/>
    <mergeCell ref="R30:S30"/>
    <mergeCell ref="B34:Q34"/>
    <mergeCell ref="C39:W39"/>
    <mergeCell ref="B20:W20"/>
    <mergeCell ref="T27:U27"/>
    <mergeCell ref="V27:W27"/>
    <mergeCell ref="O33:Q33"/>
    <mergeCell ref="R33:S33"/>
    <mergeCell ref="T33:U33"/>
    <mergeCell ref="C27:H27"/>
    <mergeCell ref="I27:N27"/>
    <mergeCell ref="H114:W114"/>
    <mergeCell ref="H112:W112"/>
    <mergeCell ref="H113:W113"/>
    <mergeCell ref="N61:W61"/>
    <mergeCell ref="N53:W53"/>
    <mergeCell ref="C54:M54"/>
    <mergeCell ref="N54:W54"/>
    <mergeCell ref="C60:M60"/>
    <mergeCell ref="N60:W60"/>
    <mergeCell ref="R34:S34"/>
    <mergeCell ref="T34:U34"/>
    <mergeCell ref="V34:W34"/>
    <mergeCell ref="V35:W35"/>
    <mergeCell ref="T35:U35"/>
    <mergeCell ref="C26:H26"/>
    <mergeCell ref="I26:N26"/>
  </mergeCells>
  <pageMargins left="0.70866141732282995" right="0.70866141732282995" top="0.35433070866142002" bottom="0.35433070866142002" header="0.31496062992126" footer="0.31496062992126"/>
  <pageSetup paperSize="10000" fitToHeight="0" orientation="portrait" r:id="rId1"/>
  <rowBreaks count="2" manualBreakCount="2">
    <brk id="63" man="1"/>
    <brk id="10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URAIAN JABATAN</vt:lpstr>
      <vt:lpstr>ABK</vt:lpstr>
      <vt:lpstr>INFOFAK</vt:lpstr>
      <vt:lpstr>INFOJAB</vt:lpstr>
      <vt:lpstr>ABK!Print_Area</vt:lpstr>
      <vt:lpstr>DATA!Print_Area</vt:lpstr>
      <vt:lpstr>INFOFAK!Print_Area</vt:lpstr>
      <vt:lpstr>INFOJAB!Print_Area</vt:lpstr>
      <vt:lpstr>'URAIAN JABATAN'!Print_Area</vt:lpstr>
      <vt:lpstr>ABK!Print_Titles</vt:lpstr>
    </vt:vector>
  </TitlesOfParts>
  <Manager/>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ismail - [2010]</dc:creator>
  <cp:keywords/>
  <dc:description/>
  <cp:lastModifiedBy>AXISS</cp:lastModifiedBy>
  <dcterms:created xsi:type="dcterms:W3CDTF">2018-04-07T11:05:18Z</dcterms:created>
  <dcterms:modified xsi:type="dcterms:W3CDTF">2026-07-09T08:38:35Z</dcterms:modified>
  <cp:category/>
</cp:coreProperties>
</file>